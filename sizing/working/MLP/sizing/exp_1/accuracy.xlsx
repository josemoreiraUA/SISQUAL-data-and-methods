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pred_sizing_directly\"/>
    </mc:Choice>
  </mc:AlternateContent>
  <xr:revisionPtr revIDLastSave="0" documentId="13_ncr:40009_{978DD0BC-F1D9-488B-9E4A-48B87F938C60}" xr6:coauthVersionLast="47" xr6:coauthVersionMax="47" xr10:uidLastSave="{00000000-0000-0000-0000-000000000000}"/>
  <bookViews>
    <workbookView xWindow="-108" yWindow="-108" windowWidth="23256" windowHeight="13176"/>
  </bookViews>
  <sheets>
    <sheet name="accuracy" sheetId="1" r:id="rId1"/>
  </sheets>
  <calcPr calcId="0"/>
</workbook>
</file>

<file path=xl/calcChain.xml><?xml version="1.0" encoding="utf-8"?>
<calcChain xmlns="http://schemas.openxmlformats.org/spreadsheetml/2006/main">
  <c r="D65" i="1" l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C65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C64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C63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C62" i="1"/>
</calcChain>
</file>

<file path=xl/sharedStrings.xml><?xml version="1.0" encoding="utf-8"?>
<sst xmlns="http://schemas.openxmlformats.org/spreadsheetml/2006/main" count="43" uniqueCount="14">
  <si>
    <t>ROUND</t>
  </si>
  <si>
    <t>FLOOR</t>
  </si>
  <si>
    <t>CEIL</t>
  </si>
  <si>
    <t>=</t>
  </si>
  <si>
    <t>+1</t>
  </si>
  <si>
    <t>-1</t>
  </si>
  <si>
    <t>&gt; 1</t>
  </si>
  <si>
    <t>&lt; 1</t>
  </si>
  <si>
    <t>Min</t>
  </si>
  <si>
    <t>Max</t>
  </si>
  <si>
    <t>Mean</t>
  </si>
  <si>
    <t>Median</t>
  </si>
  <si>
    <t>%</t>
  </si>
  <si>
    <t>Store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</si>
</sst>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49" fontId="16" fillId="0" borderId="10" xfId="0" applyNumberFormat="1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2" fontId="0" fillId="0" borderId="10" xfId="0" applyNumberFormat="1" applyBorder="1"/>
    <xf numFmtId="2" fontId="0" fillId="0" borderId="0" xfId="0" applyNumberFormat="1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=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accuracy!$C$3</c:f>
              <c:strCache>
                <c:ptCount val="1"/>
                <c:pt idx="0">
                  <c:v>ROUND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accuracy!$B$5:$B$56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accuracy!$C$5:$C$56</c:f>
              <c:numCache>
                <c:formatCode>0.00</c:formatCode>
                <c:ptCount val="52"/>
                <c:pt idx="0">
                  <c:v>84.17</c:v>
                </c:pt>
                <c:pt idx="1">
                  <c:v>85.42</c:v>
                </c:pt>
                <c:pt idx="2">
                  <c:v>81.81</c:v>
                </c:pt>
                <c:pt idx="3">
                  <c:v>87.92</c:v>
                </c:pt>
                <c:pt idx="4">
                  <c:v>88.47</c:v>
                </c:pt>
                <c:pt idx="5">
                  <c:v>82.5</c:v>
                </c:pt>
                <c:pt idx="6">
                  <c:v>88.75</c:v>
                </c:pt>
                <c:pt idx="7">
                  <c:v>78.75</c:v>
                </c:pt>
                <c:pt idx="8">
                  <c:v>77.64</c:v>
                </c:pt>
                <c:pt idx="9">
                  <c:v>83.33</c:v>
                </c:pt>
                <c:pt idx="10">
                  <c:v>86.67</c:v>
                </c:pt>
                <c:pt idx="11">
                  <c:v>86.11</c:v>
                </c:pt>
                <c:pt idx="12">
                  <c:v>84.58</c:v>
                </c:pt>
                <c:pt idx="13">
                  <c:v>77.22</c:v>
                </c:pt>
                <c:pt idx="14">
                  <c:v>89.58</c:v>
                </c:pt>
                <c:pt idx="15">
                  <c:v>80.56</c:v>
                </c:pt>
                <c:pt idx="16">
                  <c:v>84.03</c:v>
                </c:pt>
                <c:pt idx="17">
                  <c:v>79.03</c:v>
                </c:pt>
                <c:pt idx="18">
                  <c:v>81.25</c:v>
                </c:pt>
                <c:pt idx="19">
                  <c:v>81.11</c:v>
                </c:pt>
                <c:pt idx="20">
                  <c:v>68.47</c:v>
                </c:pt>
                <c:pt idx="21">
                  <c:v>82.36</c:v>
                </c:pt>
                <c:pt idx="22">
                  <c:v>78.19</c:v>
                </c:pt>
                <c:pt idx="23">
                  <c:v>83.47</c:v>
                </c:pt>
                <c:pt idx="24">
                  <c:v>77.92</c:v>
                </c:pt>
                <c:pt idx="25">
                  <c:v>81.25</c:v>
                </c:pt>
                <c:pt idx="26">
                  <c:v>84.17</c:v>
                </c:pt>
                <c:pt idx="27">
                  <c:v>84.31</c:v>
                </c:pt>
                <c:pt idx="28">
                  <c:v>77.64</c:v>
                </c:pt>
                <c:pt idx="29">
                  <c:v>86.39</c:v>
                </c:pt>
                <c:pt idx="30">
                  <c:v>78.19</c:v>
                </c:pt>
                <c:pt idx="31">
                  <c:v>74.03</c:v>
                </c:pt>
                <c:pt idx="32">
                  <c:v>80.69</c:v>
                </c:pt>
                <c:pt idx="33">
                  <c:v>78.89</c:v>
                </c:pt>
                <c:pt idx="34">
                  <c:v>85.28</c:v>
                </c:pt>
                <c:pt idx="35">
                  <c:v>89.86</c:v>
                </c:pt>
                <c:pt idx="36">
                  <c:v>84.86</c:v>
                </c:pt>
                <c:pt idx="37">
                  <c:v>84.86</c:v>
                </c:pt>
                <c:pt idx="38">
                  <c:v>80.69</c:v>
                </c:pt>
                <c:pt idx="39">
                  <c:v>77.92</c:v>
                </c:pt>
                <c:pt idx="40">
                  <c:v>82.92</c:v>
                </c:pt>
                <c:pt idx="41">
                  <c:v>80</c:v>
                </c:pt>
                <c:pt idx="42">
                  <c:v>79.17</c:v>
                </c:pt>
                <c:pt idx="43">
                  <c:v>80.97</c:v>
                </c:pt>
                <c:pt idx="44">
                  <c:v>82.22</c:v>
                </c:pt>
                <c:pt idx="45">
                  <c:v>64.86</c:v>
                </c:pt>
                <c:pt idx="46">
                  <c:v>86.25</c:v>
                </c:pt>
                <c:pt idx="47">
                  <c:v>79.17</c:v>
                </c:pt>
                <c:pt idx="48">
                  <c:v>82.5</c:v>
                </c:pt>
                <c:pt idx="49">
                  <c:v>83.89</c:v>
                </c:pt>
                <c:pt idx="50">
                  <c:v>87.08</c:v>
                </c:pt>
                <c:pt idx="51">
                  <c:v>79.86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0E-4D0A-AAFD-F924AF767FD1}"/>
            </c:ext>
          </c:extLst>
        </c:ser>
        <c:ser>
          <c:idx val="1"/>
          <c:order val="1"/>
          <c:tx>
            <c:strRef>
              <c:f>accuracy!$H$3</c:f>
              <c:strCache>
                <c:ptCount val="1"/>
                <c:pt idx="0">
                  <c:v>FLOOR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accuracy!$B$5:$B$56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accuracy!$H$5:$H$56</c:f>
              <c:numCache>
                <c:formatCode>0.00</c:formatCode>
                <c:ptCount val="52"/>
                <c:pt idx="0">
                  <c:v>70.83</c:v>
                </c:pt>
                <c:pt idx="1">
                  <c:v>78.61</c:v>
                </c:pt>
                <c:pt idx="2">
                  <c:v>73.61</c:v>
                </c:pt>
                <c:pt idx="3">
                  <c:v>73.19</c:v>
                </c:pt>
                <c:pt idx="4">
                  <c:v>77.5</c:v>
                </c:pt>
                <c:pt idx="5">
                  <c:v>71.94</c:v>
                </c:pt>
                <c:pt idx="6">
                  <c:v>78.47</c:v>
                </c:pt>
                <c:pt idx="7">
                  <c:v>67.08</c:v>
                </c:pt>
                <c:pt idx="8">
                  <c:v>65.42</c:v>
                </c:pt>
                <c:pt idx="9">
                  <c:v>68.75</c:v>
                </c:pt>
                <c:pt idx="10">
                  <c:v>69.86</c:v>
                </c:pt>
                <c:pt idx="11">
                  <c:v>73.75</c:v>
                </c:pt>
                <c:pt idx="12">
                  <c:v>72.64</c:v>
                </c:pt>
                <c:pt idx="13">
                  <c:v>66.25</c:v>
                </c:pt>
                <c:pt idx="14">
                  <c:v>80.69</c:v>
                </c:pt>
                <c:pt idx="15">
                  <c:v>66.39</c:v>
                </c:pt>
                <c:pt idx="16">
                  <c:v>66.67</c:v>
                </c:pt>
                <c:pt idx="17">
                  <c:v>69.31</c:v>
                </c:pt>
                <c:pt idx="18">
                  <c:v>70.56</c:v>
                </c:pt>
                <c:pt idx="19">
                  <c:v>71.67</c:v>
                </c:pt>
                <c:pt idx="20">
                  <c:v>60.56</c:v>
                </c:pt>
                <c:pt idx="21">
                  <c:v>75</c:v>
                </c:pt>
                <c:pt idx="22">
                  <c:v>71.11</c:v>
                </c:pt>
                <c:pt idx="23">
                  <c:v>67.64</c:v>
                </c:pt>
                <c:pt idx="24">
                  <c:v>67.5</c:v>
                </c:pt>
                <c:pt idx="25">
                  <c:v>72.5</c:v>
                </c:pt>
                <c:pt idx="26">
                  <c:v>72.22</c:v>
                </c:pt>
                <c:pt idx="27">
                  <c:v>68.61</c:v>
                </c:pt>
                <c:pt idx="28">
                  <c:v>74.44</c:v>
                </c:pt>
                <c:pt idx="29">
                  <c:v>76.94</c:v>
                </c:pt>
                <c:pt idx="30">
                  <c:v>69.44</c:v>
                </c:pt>
                <c:pt idx="31">
                  <c:v>72.64</c:v>
                </c:pt>
                <c:pt idx="32">
                  <c:v>74.86</c:v>
                </c:pt>
                <c:pt idx="33">
                  <c:v>70.56</c:v>
                </c:pt>
                <c:pt idx="34">
                  <c:v>70.42</c:v>
                </c:pt>
                <c:pt idx="35">
                  <c:v>69.17</c:v>
                </c:pt>
                <c:pt idx="36">
                  <c:v>68.33</c:v>
                </c:pt>
                <c:pt idx="37">
                  <c:v>70.14</c:v>
                </c:pt>
                <c:pt idx="38">
                  <c:v>67.78</c:v>
                </c:pt>
                <c:pt idx="39">
                  <c:v>69.17</c:v>
                </c:pt>
                <c:pt idx="40">
                  <c:v>64.58</c:v>
                </c:pt>
                <c:pt idx="41">
                  <c:v>62.64</c:v>
                </c:pt>
                <c:pt idx="42">
                  <c:v>71.39</c:v>
                </c:pt>
                <c:pt idx="43">
                  <c:v>74.86</c:v>
                </c:pt>
                <c:pt idx="44">
                  <c:v>80.14</c:v>
                </c:pt>
                <c:pt idx="45">
                  <c:v>64.31</c:v>
                </c:pt>
                <c:pt idx="46">
                  <c:v>73.33</c:v>
                </c:pt>
                <c:pt idx="47">
                  <c:v>67.64</c:v>
                </c:pt>
                <c:pt idx="48">
                  <c:v>74.58</c:v>
                </c:pt>
                <c:pt idx="49">
                  <c:v>78.75</c:v>
                </c:pt>
                <c:pt idx="50">
                  <c:v>81.25</c:v>
                </c:pt>
                <c:pt idx="51">
                  <c:v>71.25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0E-4D0A-AAFD-F924AF767FD1}"/>
            </c:ext>
          </c:extLst>
        </c:ser>
        <c:ser>
          <c:idx val="2"/>
          <c:order val="2"/>
          <c:tx>
            <c:strRef>
              <c:f>accuracy!$M$3</c:f>
              <c:strCache>
                <c:ptCount val="1"/>
                <c:pt idx="0">
                  <c:v>CEIL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accuracy!$B$5:$B$56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accuracy!$M$5:$M$56</c:f>
              <c:numCache>
                <c:formatCode>0.00</c:formatCode>
                <c:ptCount val="52"/>
                <c:pt idx="0">
                  <c:v>78.61</c:v>
                </c:pt>
                <c:pt idx="1">
                  <c:v>74.72</c:v>
                </c:pt>
                <c:pt idx="2">
                  <c:v>74.72</c:v>
                </c:pt>
                <c:pt idx="3">
                  <c:v>81.39</c:v>
                </c:pt>
                <c:pt idx="4">
                  <c:v>71.94</c:v>
                </c:pt>
                <c:pt idx="5">
                  <c:v>79.58</c:v>
                </c:pt>
                <c:pt idx="6">
                  <c:v>76.11</c:v>
                </c:pt>
                <c:pt idx="7">
                  <c:v>77.08</c:v>
                </c:pt>
                <c:pt idx="8">
                  <c:v>76.94</c:v>
                </c:pt>
                <c:pt idx="9">
                  <c:v>78.19</c:v>
                </c:pt>
                <c:pt idx="10">
                  <c:v>82.5</c:v>
                </c:pt>
                <c:pt idx="11">
                  <c:v>80.14</c:v>
                </c:pt>
                <c:pt idx="12">
                  <c:v>81.53</c:v>
                </c:pt>
                <c:pt idx="13">
                  <c:v>82.36</c:v>
                </c:pt>
                <c:pt idx="14">
                  <c:v>74.17</c:v>
                </c:pt>
                <c:pt idx="15">
                  <c:v>82.22</c:v>
                </c:pt>
                <c:pt idx="16">
                  <c:v>89.31</c:v>
                </c:pt>
                <c:pt idx="17">
                  <c:v>76.11</c:v>
                </c:pt>
                <c:pt idx="18">
                  <c:v>80.28</c:v>
                </c:pt>
                <c:pt idx="19">
                  <c:v>81.53</c:v>
                </c:pt>
                <c:pt idx="20">
                  <c:v>75.42</c:v>
                </c:pt>
                <c:pt idx="21">
                  <c:v>78.19</c:v>
                </c:pt>
                <c:pt idx="22">
                  <c:v>74.17</c:v>
                </c:pt>
                <c:pt idx="23">
                  <c:v>79.17</c:v>
                </c:pt>
                <c:pt idx="24">
                  <c:v>83.61</c:v>
                </c:pt>
                <c:pt idx="25">
                  <c:v>81.67</c:v>
                </c:pt>
                <c:pt idx="26">
                  <c:v>79.44</c:v>
                </c:pt>
                <c:pt idx="27">
                  <c:v>83.06</c:v>
                </c:pt>
                <c:pt idx="28">
                  <c:v>72.08</c:v>
                </c:pt>
                <c:pt idx="29">
                  <c:v>76.39</c:v>
                </c:pt>
                <c:pt idx="30">
                  <c:v>80.69</c:v>
                </c:pt>
                <c:pt idx="31">
                  <c:v>70.42</c:v>
                </c:pt>
                <c:pt idx="32">
                  <c:v>76.53</c:v>
                </c:pt>
                <c:pt idx="33">
                  <c:v>79.31</c:v>
                </c:pt>
                <c:pt idx="34">
                  <c:v>76.25</c:v>
                </c:pt>
                <c:pt idx="35">
                  <c:v>79.86</c:v>
                </c:pt>
                <c:pt idx="36">
                  <c:v>85.28</c:v>
                </c:pt>
                <c:pt idx="37">
                  <c:v>76.94</c:v>
                </c:pt>
                <c:pt idx="38">
                  <c:v>82.78</c:v>
                </c:pt>
                <c:pt idx="39">
                  <c:v>77.64</c:v>
                </c:pt>
                <c:pt idx="40">
                  <c:v>83.61</c:v>
                </c:pt>
                <c:pt idx="41">
                  <c:v>84.86</c:v>
                </c:pt>
                <c:pt idx="42">
                  <c:v>75.28</c:v>
                </c:pt>
                <c:pt idx="43">
                  <c:v>78.47</c:v>
                </c:pt>
                <c:pt idx="44">
                  <c:v>74.44</c:v>
                </c:pt>
                <c:pt idx="45">
                  <c:v>65.14</c:v>
                </c:pt>
                <c:pt idx="46">
                  <c:v>79.31</c:v>
                </c:pt>
                <c:pt idx="47">
                  <c:v>81.53</c:v>
                </c:pt>
                <c:pt idx="48">
                  <c:v>77.5</c:v>
                </c:pt>
                <c:pt idx="49">
                  <c:v>78.47</c:v>
                </c:pt>
                <c:pt idx="50">
                  <c:v>74.72</c:v>
                </c:pt>
                <c:pt idx="51">
                  <c:v>81.25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0E-4D0A-AAFD-F924AF767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895056"/>
        <c:axId val="447027616"/>
      </c:lineChart>
      <c:catAx>
        <c:axId val="57189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27616"/>
        <c:crosses val="autoZero"/>
        <c:auto val="1"/>
        <c:lblAlgn val="ctr"/>
        <c:lblOffset val="100"/>
        <c:noMultiLvlLbl val="0"/>
      </c:catAx>
      <c:valAx>
        <c:axId val="44702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=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9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-1</xdr:colOff>
      <xdr:row>3</xdr:row>
      <xdr:rowOff>92530</xdr:rowOff>
    </xdr:from>
    <xdr:to>
      <xdr:col>37</xdr:col>
      <xdr:colOff>457200</xdr:colOff>
      <xdr:row>41</xdr:row>
      <xdr:rowOff>27709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B13F62-D3FF-955D-AFE0-18ABD24B4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65"/>
  <sheetViews>
    <sheetView tabSelected="1" zoomScale="85" zoomScaleNormal="85" workbookViewId="0">
      <selection activeCell="R2" sqref="R2"/>
    </sheetView>
  </sheetViews>
  <sheetFormatPr defaultRowHeight="14.4" x14ac:dyDescent="0.3"/>
  <cols>
    <col min="3" max="3" width="11.21875" customWidth="1"/>
    <col min="4" max="5" width="11.88671875" customWidth="1"/>
    <col min="6" max="6" width="11.77734375" customWidth="1"/>
    <col min="7" max="7" width="11.88671875" customWidth="1"/>
    <col min="8" max="8" width="12" customWidth="1"/>
    <col min="9" max="9" width="11" customWidth="1"/>
    <col min="10" max="10" width="11.5546875" customWidth="1"/>
    <col min="11" max="12" width="10.88671875" customWidth="1"/>
    <col min="13" max="13" width="11.77734375" customWidth="1"/>
    <col min="14" max="14" width="10.21875" customWidth="1"/>
  </cols>
  <sheetData>
    <row r="2" spans="2:17" x14ac:dyDescent="0.3">
      <c r="C2" s="3" t="s">
        <v>12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2:17" x14ac:dyDescent="0.3">
      <c r="C3" s="5" t="s">
        <v>0</v>
      </c>
      <c r="D3" s="5"/>
      <c r="E3" s="5"/>
      <c r="F3" s="5"/>
      <c r="G3" s="5"/>
      <c r="H3" s="3" t="s">
        <v>1</v>
      </c>
      <c r="I3" s="3"/>
      <c r="J3" s="3"/>
      <c r="K3" s="3"/>
      <c r="L3" s="3"/>
      <c r="M3" s="6" t="s">
        <v>2</v>
      </c>
      <c r="N3" s="6"/>
      <c r="O3" s="6"/>
      <c r="P3" s="6"/>
      <c r="Q3" s="6"/>
    </row>
    <row r="4" spans="2:17" x14ac:dyDescent="0.3">
      <c r="B4" s="2" t="s">
        <v>13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3</v>
      </c>
      <c r="I4" s="4" t="s">
        <v>4</v>
      </c>
      <c r="J4" s="4" t="s">
        <v>5</v>
      </c>
      <c r="K4" s="4" t="s">
        <v>6</v>
      </c>
      <c r="L4" s="4" t="s">
        <v>7</v>
      </c>
      <c r="M4" s="4" t="s">
        <v>3</v>
      </c>
      <c r="N4" s="4" t="s">
        <v>4</v>
      </c>
      <c r="O4" s="4" t="s">
        <v>5</v>
      </c>
      <c r="P4" s="4" t="s">
        <v>6</v>
      </c>
      <c r="Q4" s="4" t="s">
        <v>7</v>
      </c>
    </row>
    <row r="5" spans="2:17" x14ac:dyDescent="0.3">
      <c r="B5" s="9">
        <v>10</v>
      </c>
      <c r="C5" s="7">
        <v>84.17</v>
      </c>
      <c r="D5" s="7">
        <v>8.89</v>
      </c>
      <c r="E5" s="7">
        <v>5.69</v>
      </c>
      <c r="F5" s="7">
        <v>0.97</v>
      </c>
      <c r="G5" s="7">
        <v>0.28000000000000003</v>
      </c>
      <c r="H5" s="7">
        <v>70.83</v>
      </c>
      <c r="I5" s="7">
        <v>25.14</v>
      </c>
      <c r="J5" s="7">
        <v>0.83</v>
      </c>
      <c r="K5" s="7">
        <v>0.83</v>
      </c>
      <c r="L5" s="7">
        <v>2.36</v>
      </c>
      <c r="M5" s="7">
        <v>78.61</v>
      </c>
      <c r="N5" s="7">
        <v>2.36</v>
      </c>
      <c r="O5" s="7">
        <v>17.36</v>
      </c>
      <c r="P5" s="7">
        <v>1.67</v>
      </c>
      <c r="Q5" s="7">
        <v>0</v>
      </c>
    </row>
    <row r="6" spans="2:17" x14ac:dyDescent="0.3">
      <c r="B6" s="9">
        <v>11</v>
      </c>
      <c r="C6" s="7">
        <v>85.42</v>
      </c>
      <c r="D6" s="7">
        <v>11.25</v>
      </c>
      <c r="E6" s="7">
        <v>3.19</v>
      </c>
      <c r="F6" s="7">
        <v>0</v>
      </c>
      <c r="G6" s="7">
        <v>0.14000000000000001</v>
      </c>
      <c r="H6" s="7">
        <v>78.61</v>
      </c>
      <c r="I6" s="7">
        <v>18.059999999999999</v>
      </c>
      <c r="J6" s="7">
        <v>0.42</v>
      </c>
      <c r="K6" s="7">
        <v>0</v>
      </c>
      <c r="L6" s="7">
        <v>2.92</v>
      </c>
      <c r="M6" s="7">
        <v>74.72</v>
      </c>
      <c r="N6" s="7">
        <v>2.92</v>
      </c>
      <c r="O6" s="7">
        <v>21.94</v>
      </c>
      <c r="P6" s="7">
        <v>0.42</v>
      </c>
      <c r="Q6" s="7">
        <v>0</v>
      </c>
    </row>
    <row r="7" spans="2:17" x14ac:dyDescent="0.3">
      <c r="B7" s="9">
        <v>13</v>
      </c>
      <c r="C7" s="7">
        <v>81.81</v>
      </c>
      <c r="D7" s="7">
        <v>10.14</v>
      </c>
      <c r="E7" s="7">
        <v>6.67</v>
      </c>
      <c r="F7" s="7">
        <v>0.69</v>
      </c>
      <c r="G7" s="7">
        <v>0.69</v>
      </c>
      <c r="H7" s="7">
        <v>73.61</v>
      </c>
      <c r="I7" s="7">
        <v>23.06</v>
      </c>
      <c r="J7" s="7">
        <v>0.42</v>
      </c>
      <c r="K7" s="7">
        <v>0.69</v>
      </c>
      <c r="L7" s="7">
        <v>2.2200000000000002</v>
      </c>
      <c r="M7" s="7">
        <v>74.72</v>
      </c>
      <c r="N7" s="7">
        <v>2.2200000000000002</v>
      </c>
      <c r="O7" s="7">
        <v>21.94</v>
      </c>
      <c r="P7" s="7">
        <v>1.1100000000000001</v>
      </c>
      <c r="Q7" s="7">
        <v>0</v>
      </c>
    </row>
    <row r="8" spans="2:17" x14ac:dyDescent="0.3">
      <c r="B8" s="9">
        <v>14</v>
      </c>
      <c r="C8" s="7">
        <v>87.92</v>
      </c>
      <c r="D8" s="7">
        <v>10.56</v>
      </c>
      <c r="E8" s="7">
        <v>1.39</v>
      </c>
      <c r="F8" s="7">
        <v>0</v>
      </c>
      <c r="G8" s="7">
        <v>0.14000000000000001</v>
      </c>
      <c r="H8" s="7">
        <v>73.19</v>
      </c>
      <c r="I8" s="7">
        <v>24.72</v>
      </c>
      <c r="J8" s="7">
        <v>0.42</v>
      </c>
      <c r="K8" s="7">
        <v>0</v>
      </c>
      <c r="L8" s="7">
        <v>1.67</v>
      </c>
      <c r="M8" s="7">
        <v>81.39</v>
      </c>
      <c r="N8" s="7">
        <v>1.67</v>
      </c>
      <c r="O8" s="7">
        <v>16.53</v>
      </c>
      <c r="P8" s="7">
        <v>0.42</v>
      </c>
      <c r="Q8" s="7">
        <v>0</v>
      </c>
    </row>
    <row r="9" spans="2:17" x14ac:dyDescent="0.3">
      <c r="B9" s="9">
        <v>15</v>
      </c>
      <c r="C9" s="7">
        <v>88.47</v>
      </c>
      <c r="D9" s="7">
        <v>6.67</v>
      </c>
      <c r="E9" s="7">
        <v>4.03</v>
      </c>
      <c r="F9" s="7">
        <v>0.69</v>
      </c>
      <c r="G9" s="7">
        <v>0.14000000000000001</v>
      </c>
      <c r="H9" s="7">
        <v>77.5</v>
      </c>
      <c r="I9" s="7">
        <v>20.28</v>
      </c>
      <c r="J9" s="7">
        <v>0.56000000000000005</v>
      </c>
      <c r="K9" s="7">
        <v>0.28000000000000003</v>
      </c>
      <c r="L9" s="7">
        <v>1.39</v>
      </c>
      <c r="M9" s="7">
        <v>71.94</v>
      </c>
      <c r="N9" s="7">
        <v>1.39</v>
      </c>
      <c r="O9" s="7">
        <v>25.83</v>
      </c>
      <c r="P9" s="7">
        <v>0.83</v>
      </c>
      <c r="Q9" s="7">
        <v>0</v>
      </c>
    </row>
    <row r="10" spans="2:17" x14ac:dyDescent="0.3">
      <c r="B10" s="9">
        <v>16</v>
      </c>
      <c r="C10" s="7">
        <v>82.5</v>
      </c>
      <c r="D10" s="7">
        <v>12.5</v>
      </c>
      <c r="E10" s="7">
        <v>4.4400000000000004</v>
      </c>
      <c r="F10" s="7">
        <v>0</v>
      </c>
      <c r="G10" s="7">
        <v>0.56000000000000005</v>
      </c>
      <c r="H10" s="7">
        <v>71.94</v>
      </c>
      <c r="I10" s="7">
        <v>22.92</v>
      </c>
      <c r="J10" s="7">
        <v>0.69</v>
      </c>
      <c r="K10" s="7">
        <v>0</v>
      </c>
      <c r="L10" s="7">
        <v>4.4400000000000004</v>
      </c>
      <c r="M10" s="7">
        <v>79.58</v>
      </c>
      <c r="N10" s="7">
        <v>4.4400000000000004</v>
      </c>
      <c r="O10" s="7">
        <v>15.28</v>
      </c>
      <c r="P10" s="7">
        <v>0.69</v>
      </c>
      <c r="Q10" s="7">
        <v>0</v>
      </c>
    </row>
    <row r="11" spans="2:17" x14ac:dyDescent="0.3">
      <c r="B11" s="9">
        <v>17</v>
      </c>
      <c r="C11" s="7">
        <v>88.75</v>
      </c>
      <c r="D11" s="7">
        <v>6.81</v>
      </c>
      <c r="E11" s="7">
        <v>4.17</v>
      </c>
      <c r="F11" s="7">
        <v>0</v>
      </c>
      <c r="G11" s="7">
        <v>0.28000000000000003</v>
      </c>
      <c r="H11" s="7">
        <v>78.47</v>
      </c>
      <c r="I11" s="7">
        <v>19.440000000000001</v>
      </c>
      <c r="J11" s="7">
        <v>0.28000000000000003</v>
      </c>
      <c r="K11" s="7">
        <v>0</v>
      </c>
      <c r="L11" s="7">
        <v>1.81</v>
      </c>
      <c r="M11" s="7">
        <v>76.11</v>
      </c>
      <c r="N11" s="7">
        <v>1.67</v>
      </c>
      <c r="O11" s="7">
        <v>21.81</v>
      </c>
      <c r="P11" s="7">
        <v>0.28000000000000003</v>
      </c>
      <c r="Q11" s="7">
        <v>0.14000000000000001</v>
      </c>
    </row>
    <row r="12" spans="2:17" x14ac:dyDescent="0.3">
      <c r="B12" s="9">
        <v>18</v>
      </c>
      <c r="C12" s="7">
        <v>78.75</v>
      </c>
      <c r="D12" s="7">
        <v>13.47</v>
      </c>
      <c r="E12" s="7">
        <v>4.4400000000000004</v>
      </c>
      <c r="F12" s="7">
        <v>0.83</v>
      </c>
      <c r="G12" s="7">
        <v>2.5</v>
      </c>
      <c r="H12" s="7">
        <v>67.08</v>
      </c>
      <c r="I12" s="7">
        <v>25.42</v>
      </c>
      <c r="J12" s="7">
        <v>0.28000000000000003</v>
      </c>
      <c r="K12" s="7">
        <v>0.69</v>
      </c>
      <c r="L12" s="7">
        <v>6.53</v>
      </c>
      <c r="M12" s="7">
        <v>77.08</v>
      </c>
      <c r="N12" s="7">
        <v>5.83</v>
      </c>
      <c r="O12" s="7">
        <v>15.42</v>
      </c>
      <c r="P12" s="7">
        <v>0.97</v>
      </c>
      <c r="Q12" s="7">
        <v>0.69</v>
      </c>
    </row>
    <row r="13" spans="2:17" x14ac:dyDescent="0.3">
      <c r="B13" s="9">
        <v>19</v>
      </c>
      <c r="C13" s="7">
        <v>77.64</v>
      </c>
      <c r="D13" s="7">
        <v>14.31</v>
      </c>
      <c r="E13" s="7">
        <v>5.42</v>
      </c>
      <c r="F13" s="7">
        <v>0.83</v>
      </c>
      <c r="G13" s="7">
        <v>1.81</v>
      </c>
      <c r="H13" s="7">
        <v>65.42</v>
      </c>
      <c r="I13" s="7">
        <v>25.28</v>
      </c>
      <c r="J13" s="7">
        <v>0.97</v>
      </c>
      <c r="K13" s="7">
        <v>0.83</v>
      </c>
      <c r="L13" s="7">
        <v>7.5</v>
      </c>
      <c r="M13" s="7">
        <v>76.94</v>
      </c>
      <c r="N13" s="7">
        <v>7.22</v>
      </c>
      <c r="O13" s="7">
        <v>13.75</v>
      </c>
      <c r="P13" s="7">
        <v>1.81</v>
      </c>
      <c r="Q13" s="7">
        <v>0.28000000000000003</v>
      </c>
    </row>
    <row r="14" spans="2:17" x14ac:dyDescent="0.3">
      <c r="B14" s="9">
        <v>20</v>
      </c>
      <c r="C14" s="7">
        <v>83.33</v>
      </c>
      <c r="D14" s="7">
        <v>10.28</v>
      </c>
      <c r="E14" s="7">
        <v>5.28</v>
      </c>
      <c r="F14" s="7">
        <v>0.83</v>
      </c>
      <c r="G14" s="7">
        <v>0.28000000000000003</v>
      </c>
      <c r="H14" s="7">
        <v>68.75</v>
      </c>
      <c r="I14" s="7">
        <v>26.53</v>
      </c>
      <c r="J14" s="7">
        <v>0.83</v>
      </c>
      <c r="K14" s="7">
        <v>0.56000000000000005</v>
      </c>
      <c r="L14" s="7">
        <v>3.33</v>
      </c>
      <c r="M14" s="7">
        <v>78.19</v>
      </c>
      <c r="N14" s="7">
        <v>3.33</v>
      </c>
      <c r="O14" s="7">
        <v>17.079999999999998</v>
      </c>
      <c r="P14" s="7">
        <v>1.39</v>
      </c>
      <c r="Q14" s="7">
        <v>0</v>
      </c>
    </row>
    <row r="15" spans="2:17" x14ac:dyDescent="0.3">
      <c r="B15" s="9">
        <v>21</v>
      </c>
      <c r="C15" s="7">
        <v>86.67</v>
      </c>
      <c r="D15" s="7">
        <v>10.97</v>
      </c>
      <c r="E15" s="7">
        <v>2.08</v>
      </c>
      <c r="F15" s="7">
        <v>0</v>
      </c>
      <c r="G15" s="7">
        <v>0.28000000000000003</v>
      </c>
      <c r="H15" s="7">
        <v>69.86</v>
      </c>
      <c r="I15" s="7">
        <v>25.83</v>
      </c>
      <c r="J15" s="7">
        <v>0</v>
      </c>
      <c r="K15" s="7">
        <v>0</v>
      </c>
      <c r="L15" s="7">
        <v>4.3099999999999996</v>
      </c>
      <c r="M15" s="7">
        <v>82.5</v>
      </c>
      <c r="N15" s="7">
        <v>4.17</v>
      </c>
      <c r="O15" s="7">
        <v>13.19</v>
      </c>
      <c r="P15" s="7">
        <v>0</v>
      </c>
      <c r="Q15" s="7">
        <v>0.14000000000000001</v>
      </c>
    </row>
    <row r="16" spans="2:17" x14ac:dyDescent="0.3">
      <c r="B16" s="9">
        <v>22</v>
      </c>
      <c r="C16" s="7">
        <v>86.11</v>
      </c>
      <c r="D16" s="7">
        <v>9.86</v>
      </c>
      <c r="E16" s="7">
        <v>3.89</v>
      </c>
      <c r="F16" s="7">
        <v>0</v>
      </c>
      <c r="G16" s="7">
        <v>0.14000000000000001</v>
      </c>
      <c r="H16" s="7">
        <v>73.75</v>
      </c>
      <c r="I16" s="7">
        <v>23.47</v>
      </c>
      <c r="J16" s="7">
        <v>0</v>
      </c>
      <c r="K16" s="7">
        <v>0</v>
      </c>
      <c r="L16" s="7">
        <v>2.78</v>
      </c>
      <c r="M16" s="7">
        <v>80.14</v>
      </c>
      <c r="N16" s="7">
        <v>2.78</v>
      </c>
      <c r="O16" s="7">
        <v>17.079999999999998</v>
      </c>
      <c r="P16" s="7">
        <v>0</v>
      </c>
      <c r="Q16" s="7">
        <v>0</v>
      </c>
    </row>
    <row r="17" spans="2:17" x14ac:dyDescent="0.3">
      <c r="B17" s="9">
        <v>25</v>
      </c>
      <c r="C17" s="7">
        <v>84.58</v>
      </c>
      <c r="D17" s="7">
        <v>10</v>
      </c>
      <c r="E17" s="7">
        <v>5</v>
      </c>
      <c r="F17" s="7">
        <v>0.14000000000000001</v>
      </c>
      <c r="G17" s="7">
        <v>0.28000000000000003</v>
      </c>
      <c r="H17" s="7">
        <v>72.64</v>
      </c>
      <c r="I17" s="7">
        <v>24.86</v>
      </c>
      <c r="J17" s="7">
        <v>0.83</v>
      </c>
      <c r="K17" s="7">
        <v>0</v>
      </c>
      <c r="L17" s="7">
        <v>1.67</v>
      </c>
      <c r="M17" s="7">
        <v>81.53</v>
      </c>
      <c r="N17" s="7">
        <v>1.67</v>
      </c>
      <c r="O17" s="7">
        <v>15.97</v>
      </c>
      <c r="P17" s="7">
        <v>0.83</v>
      </c>
      <c r="Q17" s="7">
        <v>0</v>
      </c>
    </row>
    <row r="18" spans="2:17" x14ac:dyDescent="0.3">
      <c r="B18" s="9">
        <v>26</v>
      </c>
      <c r="C18" s="7">
        <v>77.22</v>
      </c>
      <c r="D18" s="7">
        <v>18.190000000000001</v>
      </c>
      <c r="E18" s="7">
        <v>2.5</v>
      </c>
      <c r="F18" s="7">
        <v>0</v>
      </c>
      <c r="G18" s="7">
        <v>2.08</v>
      </c>
      <c r="H18" s="7">
        <v>66.25</v>
      </c>
      <c r="I18" s="7">
        <v>25.69</v>
      </c>
      <c r="J18" s="7">
        <v>0.28000000000000003</v>
      </c>
      <c r="K18" s="7">
        <v>0</v>
      </c>
      <c r="L18" s="7">
        <v>7.78</v>
      </c>
      <c r="M18" s="7">
        <v>82.36</v>
      </c>
      <c r="N18" s="7">
        <v>7.78</v>
      </c>
      <c r="O18" s="7">
        <v>9.58</v>
      </c>
      <c r="P18" s="7">
        <v>0.28000000000000003</v>
      </c>
      <c r="Q18" s="7">
        <v>0</v>
      </c>
    </row>
    <row r="19" spans="2:17" x14ac:dyDescent="0.3">
      <c r="B19" s="9">
        <v>30</v>
      </c>
      <c r="C19" s="7">
        <v>89.58</v>
      </c>
      <c r="D19" s="7">
        <v>4.03</v>
      </c>
      <c r="E19" s="7">
        <v>6.39</v>
      </c>
      <c r="F19" s="7">
        <v>0</v>
      </c>
      <c r="G19" s="7">
        <v>0</v>
      </c>
      <c r="H19" s="7">
        <v>80.69</v>
      </c>
      <c r="I19" s="7">
        <v>17.5</v>
      </c>
      <c r="J19" s="7">
        <v>1.25</v>
      </c>
      <c r="K19" s="7">
        <v>0</v>
      </c>
      <c r="L19" s="7">
        <v>0.56000000000000005</v>
      </c>
      <c r="M19" s="7">
        <v>74.17</v>
      </c>
      <c r="N19" s="7">
        <v>0.56000000000000005</v>
      </c>
      <c r="O19" s="7">
        <v>24.03</v>
      </c>
      <c r="P19" s="7">
        <v>1.25</v>
      </c>
      <c r="Q19" s="7">
        <v>0</v>
      </c>
    </row>
    <row r="20" spans="2:17" x14ac:dyDescent="0.3">
      <c r="B20" s="9">
        <v>31</v>
      </c>
      <c r="C20" s="7">
        <v>80.56</v>
      </c>
      <c r="D20" s="7">
        <v>14.17</v>
      </c>
      <c r="E20" s="7">
        <v>4.4400000000000004</v>
      </c>
      <c r="F20" s="7">
        <v>0.56000000000000005</v>
      </c>
      <c r="G20" s="7">
        <v>0.28000000000000003</v>
      </c>
      <c r="H20" s="7">
        <v>66.39</v>
      </c>
      <c r="I20" s="7">
        <v>30.56</v>
      </c>
      <c r="J20" s="7">
        <v>0.28000000000000003</v>
      </c>
      <c r="K20" s="7">
        <v>0.56000000000000005</v>
      </c>
      <c r="L20" s="7">
        <v>2.2200000000000002</v>
      </c>
      <c r="M20" s="7">
        <v>82.22</v>
      </c>
      <c r="N20" s="7">
        <v>2.2200000000000002</v>
      </c>
      <c r="O20" s="7">
        <v>14.72</v>
      </c>
      <c r="P20" s="7">
        <v>0.83</v>
      </c>
      <c r="Q20" s="7">
        <v>0</v>
      </c>
    </row>
    <row r="21" spans="2:17" x14ac:dyDescent="0.3">
      <c r="B21" s="9">
        <v>32</v>
      </c>
      <c r="C21" s="7">
        <v>84.03</v>
      </c>
      <c r="D21" s="7">
        <v>13.89</v>
      </c>
      <c r="E21" s="7">
        <v>2.08</v>
      </c>
      <c r="F21" s="7">
        <v>0</v>
      </c>
      <c r="G21" s="7">
        <v>0</v>
      </c>
      <c r="H21" s="7">
        <v>66.67</v>
      </c>
      <c r="I21" s="7">
        <v>32.64</v>
      </c>
      <c r="J21" s="7">
        <v>0</v>
      </c>
      <c r="K21" s="7">
        <v>0</v>
      </c>
      <c r="L21" s="7">
        <v>0.69</v>
      </c>
      <c r="M21" s="7">
        <v>89.31</v>
      </c>
      <c r="N21" s="7">
        <v>0.69</v>
      </c>
      <c r="O21" s="7">
        <v>10</v>
      </c>
      <c r="P21" s="7">
        <v>0</v>
      </c>
      <c r="Q21" s="7">
        <v>0</v>
      </c>
    </row>
    <row r="22" spans="2:17" x14ac:dyDescent="0.3">
      <c r="B22" s="9">
        <v>33</v>
      </c>
      <c r="C22" s="7">
        <v>79.03</v>
      </c>
      <c r="D22" s="7">
        <v>14.72</v>
      </c>
      <c r="E22" s="7">
        <v>4.4400000000000004</v>
      </c>
      <c r="F22" s="7">
        <v>0.83</v>
      </c>
      <c r="G22" s="7">
        <v>0.97</v>
      </c>
      <c r="H22" s="7">
        <v>69.31</v>
      </c>
      <c r="I22" s="7">
        <v>24.44</v>
      </c>
      <c r="J22" s="7">
        <v>1.39</v>
      </c>
      <c r="K22" s="7">
        <v>0.83</v>
      </c>
      <c r="L22" s="7">
        <v>4.03</v>
      </c>
      <c r="M22" s="7">
        <v>76.11</v>
      </c>
      <c r="N22" s="7">
        <v>3.75</v>
      </c>
      <c r="O22" s="7">
        <v>17.64</v>
      </c>
      <c r="P22" s="7">
        <v>2.2200000000000002</v>
      </c>
      <c r="Q22" s="7">
        <v>0.28000000000000003</v>
      </c>
    </row>
    <row r="23" spans="2:17" x14ac:dyDescent="0.3">
      <c r="B23" s="9">
        <v>34</v>
      </c>
      <c r="C23" s="7">
        <v>81.25</v>
      </c>
      <c r="D23" s="7">
        <v>13.33</v>
      </c>
      <c r="E23" s="7">
        <v>3.75</v>
      </c>
      <c r="F23" s="7">
        <v>0</v>
      </c>
      <c r="G23" s="7">
        <v>1.67</v>
      </c>
      <c r="H23" s="7">
        <v>70.56</v>
      </c>
      <c r="I23" s="7">
        <v>23.61</v>
      </c>
      <c r="J23" s="7">
        <v>0.56000000000000005</v>
      </c>
      <c r="K23" s="7">
        <v>0</v>
      </c>
      <c r="L23" s="7">
        <v>5.28</v>
      </c>
      <c r="M23" s="7">
        <v>80.28</v>
      </c>
      <c r="N23" s="7">
        <v>5.28</v>
      </c>
      <c r="O23" s="7">
        <v>13.89</v>
      </c>
      <c r="P23" s="7">
        <v>0.56000000000000005</v>
      </c>
      <c r="Q23" s="7">
        <v>0</v>
      </c>
    </row>
    <row r="24" spans="2:17" x14ac:dyDescent="0.3">
      <c r="B24" s="9">
        <v>35</v>
      </c>
      <c r="C24" s="7">
        <v>81.11</v>
      </c>
      <c r="D24" s="7">
        <v>13.89</v>
      </c>
      <c r="E24" s="7">
        <v>4.03</v>
      </c>
      <c r="F24" s="7">
        <v>0</v>
      </c>
      <c r="G24" s="7">
        <v>0.97</v>
      </c>
      <c r="H24" s="7">
        <v>71.67</v>
      </c>
      <c r="I24" s="7">
        <v>24.86</v>
      </c>
      <c r="J24" s="7">
        <v>0.56000000000000005</v>
      </c>
      <c r="K24" s="7">
        <v>0</v>
      </c>
      <c r="L24" s="7">
        <v>2.92</v>
      </c>
      <c r="M24" s="7">
        <v>81.53</v>
      </c>
      <c r="N24" s="7">
        <v>2.92</v>
      </c>
      <c r="O24" s="7">
        <v>15</v>
      </c>
      <c r="P24" s="7">
        <v>0.56000000000000005</v>
      </c>
      <c r="Q24" s="7">
        <v>0</v>
      </c>
    </row>
    <row r="25" spans="2:17" x14ac:dyDescent="0.3">
      <c r="B25" s="9">
        <v>37</v>
      </c>
      <c r="C25" s="7">
        <v>68.47</v>
      </c>
      <c r="D25" s="7">
        <v>20.56</v>
      </c>
      <c r="E25" s="7">
        <v>2.92</v>
      </c>
      <c r="F25" s="7">
        <v>1.25</v>
      </c>
      <c r="G25" s="7">
        <v>6.81</v>
      </c>
      <c r="H25" s="7">
        <v>60.56</v>
      </c>
      <c r="I25" s="7">
        <v>23.75</v>
      </c>
      <c r="J25" s="7">
        <v>1.53</v>
      </c>
      <c r="K25" s="7">
        <v>0.83</v>
      </c>
      <c r="L25" s="7">
        <v>13.33</v>
      </c>
      <c r="M25" s="7">
        <v>75.42</v>
      </c>
      <c r="N25" s="7">
        <v>10.14</v>
      </c>
      <c r="O25" s="7">
        <v>8.89</v>
      </c>
      <c r="P25" s="7">
        <v>2.36</v>
      </c>
      <c r="Q25" s="7">
        <v>3.19</v>
      </c>
    </row>
    <row r="26" spans="2:17" x14ac:dyDescent="0.3">
      <c r="B26" s="9">
        <v>38</v>
      </c>
      <c r="C26" s="7">
        <v>82.36</v>
      </c>
      <c r="D26" s="7">
        <v>9.86</v>
      </c>
      <c r="E26" s="7">
        <v>7.5</v>
      </c>
      <c r="F26" s="7">
        <v>0</v>
      </c>
      <c r="G26" s="7">
        <v>0.28000000000000003</v>
      </c>
      <c r="H26" s="7">
        <v>75</v>
      </c>
      <c r="I26" s="7">
        <v>21.53</v>
      </c>
      <c r="J26" s="7">
        <v>1.1100000000000001</v>
      </c>
      <c r="K26" s="7">
        <v>0</v>
      </c>
      <c r="L26" s="7">
        <v>2.36</v>
      </c>
      <c r="M26" s="7">
        <v>78.19</v>
      </c>
      <c r="N26" s="7">
        <v>2.36</v>
      </c>
      <c r="O26" s="7">
        <v>18.329999999999998</v>
      </c>
      <c r="P26" s="7">
        <v>1.1100000000000001</v>
      </c>
      <c r="Q26" s="7">
        <v>0</v>
      </c>
    </row>
    <row r="27" spans="2:17" x14ac:dyDescent="0.3">
      <c r="B27" s="9">
        <v>39</v>
      </c>
      <c r="C27" s="7">
        <v>78.19</v>
      </c>
      <c r="D27" s="7">
        <v>14.58</v>
      </c>
      <c r="E27" s="7">
        <v>5.28</v>
      </c>
      <c r="F27" s="7">
        <v>0.83</v>
      </c>
      <c r="G27" s="7">
        <v>1.1100000000000001</v>
      </c>
      <c r="H27" s="7">
        <v>71.11</v>
      </c>
      <c r="I27" s="7">
        <v>22.5</v>
      </c>
      <c r="J27" s="7">
        <v>0.83</v>
      </c>
      <c r="K27" s="7">
        <v>0.56000000000000005</v>
      </c>
      <c r="L27" s="7">
        <v>5</v>
      </c>
      <c r="M27" s="7">
        <v>74.17</v>
      </c>
      <c r="N27" s="7">
        <v>4.72</v>
      </c>
      <c r="O27" s="7">
        <v>19.440000000000001</v>
      </c>
      <c r="P27" s="7">
        <v>1.39</v>
      </c>
      <c r="Q27" s="7">
        <v>0.28000000000000003</v>
      </c>
    </row>
    <row r="28" spans="2:17" x14ac:dyDescent="0.3">
      <c r="B28" s="9">
        <v>40</v>
      </c>
      <c r="C28" s="7">
        <v>83.47</v>
      </c>
      <c r="D28" s="7">
        <v>14.03</v>
      </c>
      <c r="E28" s="7">
        <v>1.39</v>
      </c>
      <c r="F28" s="7">
        <v>0.69</v>
      </c>
      <c r="G28" s="7">
        <v>0.42</v>
      </c>
      <c r="H28" s="7">
        <v>67.64</v>
      </c>
      <c r="I28" s="7">
        <v>27.5</v>
      </c>
      <c r="J28" s="7">
        <v>0.56000000000000005</v>
      </c>
      <c r="K28" s="7">
        <v>0.42</v>
      </c>
      <c r="L28" s="7">
        <v>3.89</v>
      </c>
      <c r="M28" s="7">
        <v>79.17</v>
      </c>
      <c r="N28" s="7">
        <v>3.89</v>
      </c>
      <c r="O28" s="7">
        <v>15.97</v>
      </c>
      <c r="P28" s="7">
        <v>0.97</v>
      </c>
      <c r="Q28" s="7">
        <v>0</v>
      </c>
    </row>
    <row r="29" spans="2:17" x14ac:dyDescent="0.3">
      <c r="B29" s="9">
        <v>41</v>
      </c>
      <c r="C29" s="7">
        <v>77.92</v>
      </c>
      <c r="D29" s="7">
        <v>19.170000000000002</v>
      </c>
      <c r="E29" s="7">
        <v>1.53</v>
      </c>
      <c r="F29" s="7">
        <v>0</v>
      </c>
      <c r="G29" s="7">
        <v>1.39</v>
      </c>
      <c r="H29" s="7">
        <v>67.5</v>
      </c>
      <c r="I29" s="7">
        <v>26.94</v>
      </c>
      <c r="J29" s="7">
        <v>0.14000000000000001</v>
      </c>
      <c r="K29" s="7">
        <v>0</v>
      </c>
      <c r="L29" s="7">
        <v>5.42</v>
      </c>
      <c r="M29" s="7">
        <v>83.61</v>
      </c>
      <c r="N29" s="7">
        <v>5.42</v>
      </c>
      <c r="O29" s="7">
        <v>10.83</v>
      </c>
      <c r="P29" s="7">
        <v>0.14000000000000001</v>
      </c>
      <c r="Q29" s="7">
        <v>0</v>
      </c>
    </row>
    <row r="30" spans="2:17" x14ac:dyDescent="0.3">
      <c r="B30" s="9">
        <v>42</v>
      </c>
      <c r="C30" s="7">
        <v>81.25</v>
      </c>
      <c r="D30" s="7">
        <v>10.14</v>
      </c>
      <c r="E30" s="7">
        <v>7.5</v>
      </c>
      <c r="F30" s="7">
        <v>0.14000000000000001</v>
      </c>
      <c r="G30" s="7">
        <v>0.97</v>
      </c>
      <c r="H30" s="7">
        <v>72.5</v>
      </c>
      <c r="I30" s="7">
        <v>23.19</v>
      </c>
      <c r="J30" s="7">
        <v>0.69</v>
      </c>
      <c r="K30" s="7">
        <v>0.14000000000000001</v>
      </c>
      <c r="L30" s="7">
        <v>3.47</v>
      </c>
      <c r="M30" s="7">
        <v>81.67</v>
      </c>
      <c r="N30" s="7">
        <v>3.47</v>
      </c>
      <c r="O30" s="7">
        <v>14.03</v>
      </c>
      <c r="P30" s="7">
        <v>0.83</v>
      </c>
      <c r="Q30" s="7">
        <v>0</v>
      </c>
    </row>
    <row r="31" spans="2:17" x14ac:dyDescent="0.3">
      <c r="B31" s="9">
        <v>43</v>
      </c>
      <c r="C31" s="7">
        <v>84.17</v>
      </c>
      <c r="D31" s="7">
        <v>13.33</v>
      </c>
      <c r="E31" s="7">
        <v>2.36</v>
      </c>
      <c r="F31" s="7">
        <v>0</v>
      </c>
      <c r="G31" s="7">
        <v>0.14000000000000001</v>
      </c>
      <c r="H31" s="7">
        <v>72.22</v>
      </c>
      <c r="I31" s="7">
        <v>22.78</v>
      </c>
      <c r="J31" s="7">
        <v>0</v>
      </c>
      <c r="K31" s="7">
        <v>0</v>
      </c>
      <c r="L31" s="7">
        <v>5</v>
      </c>
      <c r="M31" s="7">
        <v>79.44</v>
      </c>
      <c r="N31" s="7">
        <v>5</v>
      </c>
      <c r="O31" s="7">
        <v>15.56</v>
      </c>
      <c r="P31" s="7">
        <v>0</v>
      </c>
      <c r="Q31" s="7">
        <v>0</v>
      </c>
    </row>
    <row r="32" spans="2:17" x14ac:dyDescent="0.3">
      <c r="B32" s="9">
        <v>45</v>
      </c>
      <c r="C32" s="7">
        <v>84.31</v>
      </c>
      <c r="D32" s="7">
        <v>10.56</v>
      </c>
      <c r="E32" s="7">
        <v>5.14</v>
      </c>
      <c r="F32" s="7">
        <v>0</v>
      </c>
      <c r="G32" s="7">
        <v>0</v>
      </c>
      <c r="H32" s="7">
        <v>68.61</v>
      </c>
      <c r="I32" s="7">
        <v>26.39</v>
      </c>
      <c r="J32" s="7">
        <v>0.14000000000000001</v>
      </c>
      <c r="K32" s="7">
        <v>0</v>
      </c>
      <c r="L32" s="7">
        <v>4.8600000000000003</v>
      </c>
      <c r="M32" s="7">
        <v>83.06</v>
      </c>
      <c r="N32" s="7">
        <v>4.8600000000000003</v>
      </c>
      <c r="O32" s="7">
        <v>11.94</v>
      </c>
      <c r="P32" s="7">
        <v>0.14000000000000001</v>
      </c>
      <c r="Q32" s="7">
        <v>0</v>
      </c>
    </row>
    <row r="33" spans="2:17" x14ac:dyDescent="0.3">
      <c r="B33" s="9">
        <v>49</v>
      </c>
      <c r="C33" s="7">
        <v>77.64</v>
      </c>
      <c r="D33" s="7">
        <v>9.31</v>
      </c>
      <c r="E33" s="7">
        <v>10</v>
      </c>
      <c r="F33" s="7">
        <v>0.69</v>
      </c>
      <c r="G33" s="7">
        <v>2.36</v>
      </c>
      <c r="H33" s="7">
        <v>74.44</v>
      </c>
      <c r="I33" s="7">
        <v>15.42</v>
      </c>
      <c r="J33" s="7">
        <v>3.61</v>
      </c>
      <c r="K33" s="7">
        <v>0.14000000000000001</v>
      </c>
      <c r="L33" s="7">
        <v>6.39</v>
      </c>
      <c r="M33" s="7">
        <v>72.08</v>
      </c>
      <c r="N33" s="7">
        <v>5.69</v>
      </c>
      <c r="O33" s="7">
        <v>17.78</v>
      </c>
      <c r="P33" s="7">
        <v>3.75</v>
      </c>
      <c r="Q33" s="7">
        <v>0.69</v>
      </c>
    </row>
    <row r="34" spans="2:17" x14ac:dyDescent="0.3">
      <c r="B34" s="9">
        <v>50</v>
      </c>
      <c r="C34" s="7">
        <v>86.39</v>
      </c>
      <c r="D34" s="7">
        <v>8.06</v>
      </c>
      <c r="E34" s="7">
        <v>4.72</v>
      </c>
      <c r="F34" s="7">
        <v>0</v>
      </c>
      <c r="G34" s="7">
        <v>0.83</v>
      </c>
      <c r="H34" s="7">
        <v>76.94</v>
      </c>
      <c r="I34" s="7">
        <v>19.72</v>
      </c>
      <c r="J34" s="7">
        <v>0.83</v>
      </c>
      <c r="K34" s="7">
        <v>0</v>
      </c>
      <c r="L34" s="7">
        <v>2.5</v>
      </c>
      <c r="M34" s="7">
        <v>76.39</v>
      </c>
      <c r="N34" s="7">
        <v>2.5</v>
      </c>
      <c r="O34" s="7">
        <v>20.28</v>
      </c>
      <c r="P34" s="7">
        <v>0.83</v>
      </c>
      <c r="Q34" s="7">
        <v>0</v>
      </c>
    </row>
    <row r="35" spans="2:17" x14ac:dyDescent="0.3">
      <c r="B35" s="9">
        <v>51</v>
      </c>
      <c r="C35" s="7">
        <v>78.19</v>
      </c>
      <c r="D35" s="7">
        <v>15</v>
      </c>
      <c r="E35" s="7">
        <v>5.69</v>
      </c>
      <c r="F35" s="7">
        <v>0</v>
      </c>
      <c r="G35" s="7">
        <v>1.1100000000000001</v>
      </c>
      <c r="H35" s="7">
        <v>69.44</v>
      </c>
      <c r="I35" s="7">
        <v>24.03</v>
      </c>
      <c r="J35" s="7">
        <v>1.1100000000000001</v>
      </c>
      <c r="K35" s="7">
        <v>0</v>
      </c>
      <c r="L35" s="7">
        <v>5.42</v>
      </c>
      <c r="M35" s="7">
        <v>80.69</v>
      </c>
      <c r="N35" s="7">
        <v>5.14</v>
      </c>
      <c r="O35" s="7">
        <v>12.78</v>
      </c>
      <c r="P35" s="7">
        <v>1.1100000000000001</v>
      </c>
      <c r="Q35" s="7">
        <v>0.28000000000000003</v>
      </c>
    </row>
    <row r="36" spans="2:17" x14ac:dyDescent="0.3">
      <c r="B36" s="9">
        <v>52</v>
      </c>
      <c r="C36" s="7">
        <v>74.03</v>
      </c>
      <c r="D36" s="7">
        <v>6.11</v>
      </c>
      <c r="E36" s="7">
        <v>14.86</v>
      </c>
      <c r="F36" s="7">
        <v>3.89</v>
      </c>
      <c r="G36" s="7">
        <v>1.1100000000000001</v>
      </c>
      <c r="H36" s="7">
        <v>72.64</v>
      </c>
      <c r="I36" s="7">
        <v>13.75</v>
      </c>
      <c r="J36" s="7">
        <v>10</v>
      </c>
      <c r="K36" s="7">
        <v>0.42</v>
      </c>
      <c r="L36" s="7">
        <v>3.19</v>
      </c>
      <c r="M36" s="7">
        <v>70.42</v>
      </c>
      <c r="N36" s="7">
        <v>3.06</v>
      </c>
      <c r="O36" s="7">
        <v>15.97</v>
      </c>
      <c r="P36" s="7">
        <v>10.42</v>
      </c>
      <c r="Q36" s="7">
        <v>0.14000000000000001</v>
      </c>
    </row>
    <row r="37" spans="2:17" x14ac:dyDescent="0.3">
      <c r="B37" s="9">
        <v>53</v>
      </c>
      <c r="C37" s="7">
        <v>80.69</v>
      </c>
      <c r="D37" s="7">
        <v>12.92</v>
      </c>
      <c r="E37" s="7">
        <v>5.69</v>
      </c>
      <c r="F37" s="7">
        <v>0</v>
      </c>
      <c r="G37" s="7">
        <v>0.69</v>
      </c>
      <c r="H37" s="7">
        <v>74.86</v>
      </c>
      <c r="I37" s="7">
        <v>19.86</v>
      </c>
      <c r="J37" s="7">
        <v>0.69</v>
      </c>
      <c r="K37" s="7">
        <v>0</v>
      </c>
      <c r="L37" s="7">
        <v>4.58</v>
      </c>
      <c r="M37" s="7">
        <v>76.53</v>
      </c>
      <c r="N37" s="7">
        <v>4.58</v>
      </c>
      <c r="O37" s="7">
        <v>18.190000000000001</v>
      </c>
      <c r="P37" s="7">
        <v>0.69</v>
      </c>
      <c r="Q37" s="7">
        <v>0</v>
      </c>
    </row>
    <row r="38" spans="2:17" x14ac:dyDescent="0.3">
      <c r="B38" s="9">
        <v>54</v>
      </c>
      <c r="C38" s="7">
        <v>78.89</v>
      </c>
      <c r="D38" s="7">
        <v>15.97</v>
      </c>
      <c r="E38" s="7">
        <v>3.61</v>
      </c>
      <c r="F38" s="7">
        <v>0</v>
      </c>
      <c r="G38" s="7">
        <v>1.53</v>
      </c>
      <c r="H38" s="7">
        <v>70.56</v>
      </c>
      <c r="I38" s="7">
        <v>20.83</v>
      </c>
      <c r="J38" s="7">
        <v>0.42</v>
      </c>
      <c r="K38" s="7">
        <v>0</v>
      </c>
      <c r="L38" s="7">
        <v>8.19</v>
      </c>
      <c r="M38" s="7">
        <v>79.31</v>
      </c>
      <c r="N38" s="7">
        <v>8.06</v>
      </c>
      <c r="O38" s="7">
        <v>12.08</v>
      </c>
      <c r="P38" s="7">
        <v>0.42</v>
      </c>
      <c r="Q38" s="7">
        <v>0.14000000000000001</v>
      </c>
    </row>
    <row r="39" spans="2:17" x14ac:dyDescent="0.3">
      <c r="B39" s="9">
        <v>55</v>
      </c>
      <c r="C39" s="7">
        <v>85.28</v>
      </c>
      <c r="D39" s="7">
        <v>9.0299999999999994</v>
      </c>
      <c r="E39" s="7">
        <v>4.58</v>
      </c>
      <c r="F39" s="7">
        <v>0.83</v>
      </c>
      <c r="G39" s="7">
        <v>0.28000000000000003</v>
      </c>
      <c r="H39" s="7">
        <v>70.42</v>
      </c>
      <c r="I39" s="7">
        <v>24.58</v>
      </c>
      <c r="J39" s="7">
        <v>1.25</v>
      </c>
      <c r="K39" s="7">
        <v>0.69</v>
      </c>
      <c r="L39" s="7">
        <v>3.06</v>
      </c>
      <c r="M39" s="7">
        <v>76.25</v>
      </c>
      <c r="N39" s="7">
        <v>3.06</v>
      </c>
      <c r="O39" s="7">
        <v>18.75</v>
      </c>
      <c r="P39" s="7">
        <v>1.94</v>
      </c>
      <c r="Q39" s="7">
        <v>0</v>
      </c>
    </row>
    <row r="40" spans="2:17" x14ac:dyDescent="0.3">
      <c r="B40" s="9">
        <v>56</v>
      </c>
      <c r="C40" s="7">
        <v>89.86</v>
      </c>
      <c r="D40" s="7">
        <v>4.58</v>
      </c>
      <c r="E40" s="7">
        <v>4.58</v>
      </c>
      <c r="F40" s="7">
        <v>0.69</v>
      </c>
      <c r="G40" s="7">
        <v>0.28000000000000003</v>
      </c>
      <c r="H40" s="7">
        <v>69.17</v>
      </c>
      <c r="I40" s="7">
        <v>28.19</v>
      </c>
      <c r="J40" s="7">
        <v>0.83</v>
      </c>
      <c r="K40" s="7">
        <v>0.14000000000000001</v>
      </c>
      <c r="L40" s="7">
        <v>1.67</v>
      </c>
      <c r="M40" s="7">
        <v>79.86</v>
      </c>
      <c r="N40" s="7">
        <v>1.67</v>
      </c>
      <c r="O40" s="7">
        <v>17.5</v>
      </c>
      <c r="P40" s="7">
        <v>0.97</v>
      </c>
      <c r="Q40" s="7">
        <v>0</v>
      </c>
    </row>
    <row r="41" spans="2:17" x14ac:dyDescent="0.3">
      <c r="B41" s="9">
        <v>58</v>
      </c>
      <c r="C41" s="7">
        <v>84.86</v>
      </c>
      <c r="D41" s="7">
        <v>13.19</v>
      </c>
      <c r="E41" s="7">
        <v>1.94</v>
      </c>
      <c r="F41" s="7">
        <v>0</v>
      </c>
      <c r="G41" s="7">
        <v>0</v>
      </c>
      <c r="H41" s="7">
        <v>68.33</v>
      </c>
      <c r="I41" s="7">
        <v>26.39</v>
      </c>
      <c r="J41" s="7">
        <v>0.14000000000000001</v>
      </c>
      <c r="K41" s="7">
        <v>0</v>
      </c>
      <c r="L41" s="7">
        <v>5.14</v>
      </c>
      <c r="M41" s="7">
        <v>85.28</v>
      </c>
      <c r="N41" s="7">
        <v>5.14</v>
      </c>
      <c r="O41" s="7">
        <v>9.44</v>
      </c>
      <c r="P41" s="7">
        <v>0.14000000000000001</v>
      </c>
      <c r="Q41" s="7">
        <v>0</v>
      </c>
    </row>
    <row r="42" spans="2:17" x14ac:dyDescent="0.3">
      <c r="B42" s="9">
        <v>60</v>
      </c>
      <c r="C42" s="7">
        <v>84.86</v>
      </c>
      <c r="D42" s="7">
        <v>9.58</v>
      </c>
      <c r="E42" s="7">
        <v>3.75</v>
      </c>
      <c r="F42" s="7">
        <v>0.83</v>
      </c>
      <c r="G42" s="7">
        <v>0.97</v>
      </c>
      <c r="H42" s="7">
        <v>70.14</v>
      </c>
      <c r="I42" s="7">
        <v>25.28</v>
      </c>
      <c r="J42" s="7">
        <v>0.14000000000000001</v>
      </c>
      <c r="K42" s="7">
        <v>0.69</v>
      </c>
      <c r="L42" s="7">
        <v>3.75</v>
      </c>
      <c r="M42" s="7">
        <v>76.94</v>
      </c>
      <c r="N42" s="7">
        <v>3.75</v>
      </c>
      <c r="O42" s="7">
        <v>18.47</v>
      </c>
      <c r="P42" s="7">
        <v>0.83</v>
      </c>
      <c r="Q42" s="7">
        <v>0</v>
      </c>
    </row>
    <row r="43" spans="2:17" x14ac:dyDescent="0.3">
      <c r="B43" s="9">
        <v>61</v>
      </c>
      <c r="C43" s="7">
        <v>80.69</v>
      </c>
      <c r="D43" s="7">
        <v>13.06</v>
      </c>
      <c r="E43" s="7">
        <v>4.4400000000000004</v>
      </c>
      <c r="F43" s="7">
        <v>0</v>
      </c>
      <c r="G43" s="7">
        <v>1.81</v>
      </c>
      <c r="H43" s="7">
        <v>67.78</v>
      </c>
      <c r="I43" s="7">
        <v>26.11</v>
      </c>
      <c r="J43" s="7">
        <v>0.69</v>
      </c>
      <c r="K43" s="7">
        <v>0</v>
      </c>
      <c r="L43" s="7">
        <v>5.42</v>
      </c>
      <c r="M43" s="7">
        <v>82.78</v>
      </c>
      <c r="N43" s="7">
        <v>4.8600000000000003</v>
      </c>
      <c r="O43" s="7">
        <v>11.11</v>
      </c>
      <c r="P43" s="7">
        <v>0.69</v>
      </c>
      <c r="Q43" s="7">
        <v>0.56000000000000005</v>
      </c>
    </row>
    <row r="44" spans="2:17" x14ac:dyDescent="0.3">
      <c r="B44" s="9">
        <v>62</v>
      </c>
      <c r="C44" s="7">
        <v>77.92</v>
      </c>
      <c r="D44" s="7">
        <v>14.86</v>
      </c>
      <c r="E44" s="7">
        <v>5.69</v>
      </c>
      <c r="F44" s="7">
        <v>1.1100000000000001</v>
      </c>
      <c r="G44" s="7">
        <v>0.42</v>
      </c>
      <c r="H44" s="7">
        <v>69.17</v>
      </c>
      <c r="I44" s="7">
        <v>25.97</v>
      </c>
      <c r="J44" s="7">
        <v>1.1100000000000001</v>
      </c>
      <c r="K44" s="7">
        <v>0.69</v>
      </c>
      <c r="L44" s="7">
        <v>3.06</v>
      </c>
      <c r="M44" s="7">
        <v>77.64</v>
      </c>
      <c r="N44" s="7">
        <v>3.06</v>
      </c>
      <c r="O44" s="7">
        <v>17.5</v>
      </c>
      <c r="P44" s="7">
        <v>1.81</v>
      </c>
      <c r="Q44" s="7">
        <v>0</v>
      </c>
    </row>
    <row r="45" spans="2:17" x14ac:dyDescent="0.3">
      <c r="B45" s="9">
        <v>63</v>
      </c>
      <c r="C45" s="7">
        <v>82.92</v>
      </c>
      <c r="D45" s="7">
        <v>13.89</v>
      </c>
      <c r="E45" s="7">
        <v>1.94</v>
      </c>
      <c r="F45" s="7">
        <v>0</v>
      </c>
      <c r="G45" s="7">
        <v>1.25</v>
      </c>
      <c r="H45" s="7">
        <v>64.58</v>
      </c>
      <c r="I45" s="7">
        <v>26.94</v>
      </c>
      <c r="J45" s="7">
        <v>0</v>
      </c>
      <c r="K45" s="7">
        <v>0</v>
      </c>
      <c r="L45" s="7">
        <v>8.4700000000000006</v>
      </c>
      <c r="M45" s="7">
        <v>83.61</v>
      </c>
      <c r="N45" s="7">
        <v>8.33</v>
      </c>
      <c r="O45" s="7">
        <v>7.92</v>
      </c>
      <c r="P45" s="7">
        <v>0</v>
      </c>
      <c r="Q45" s="7">
        <v>0.14000000000000001</v>
      </c>
    </row>
    <row r="46" spans="2:17" x14ac:dyDescent="0.3">
      <c r="B46" s="9">
        <v>64</v>
      </c>
      <c r="C46" s="7">
        <v>80</v>
      </c>
      <c r="D46" s="7">
        <v>18.190000000000001</v>
      </c>
      <c r="E46" s="7">
        <v>0.42</v>
      </c>
      <c r="F46" s="7">
        <v>0</v>
      </c>
      <c r="G46" s="7">
        <v>1.39</v>
      </c>
      <c r="H46" s="7">
        <v>62.64</v>
      </c>
      <c r="I46" s="7">
        <v>28.19</v>
      </c>
      <c r="J46" s="7">
        <v>0</v>
      </c>
      <c r="K46" s="7">
        <v>0</v>
      </c>
      <c r="L46" s="7">
        <v>9.17</v>
      </c>
      <c r="M46" s="7">
        <v>84.86</v>
      </c>
      <c r="N46" s="7">
        <v>9.17</v>
      </c>
      <c r="O46" s="7">
        <v>5.97</v>
      </c>
      <c r="P46" s="7">
        <v>0</v>
      </c>
      <c r="Q46" s="7">
        <v>0</v>
      </c>
    </row>
    <row r="47" spans="2:17" x14ac:dyDescent="0.3">
      <c r="B47" s="9">
        <v>65</v>
      </c>
      <c r="C47" s="7">
        <v>79.17</v>
      </c>
      <c r="D47" s="7">
        <v>13.89</v>
      </c>
      <c r="E47" s="7">
        <v>4.58</v>
      </c>
      <c r="F47" s="7">
        <v>0.97</v>
      </c>
      <c r="G47" s="7">
        <v>1.39</v>
      </c>
      <c r="H47" s="7">
        <v>71.39</v>
      </c>
      <c r="I47" s="7">
        <v>23.61</v>
      </c>
      <c r="J47" s="7">
        <v>0.69</v>
      </c>
      <c r="K47" s="7">
        <v>0.56000000000000005</v>
      </c>
      <c r="L47" s="7">
        <v>3.75</v>
      </c>
      <c r="M47" s="7">
        <v>75.28</v>
      </c>
      <c r="N47" s="7">
        <v>3.19</v>
      </c>
      <c r="O47" s="7">
        <v>19.72</v>
      </c>
      <c r="P47" s="7">
        <v>1.25</v>
      </c>
      <c r="Q47" s="7">
        <v>0.56000000000000005</v>
      </c>
    </row>
    <row r="48" spans="2:17" x14ac:dyDescent="0.3">
      <c r="B48" s="9">
        <v>66</v>
      </c>
      <c r="C48" s="7">
        <v>80.97</v>
      </c>
      <c r="D48" s="7">
        <v>15.28</v>
      </c>
      <c r="E48" s="7">
        <v>3.19</v>
      </c>
      <c r="F48" s="7">
        <v>0</v>
      </c>
      <c r="G48" s="7">
        <v>0.56000000000000005</v>
      </c>
      <c r="H48" s="7">
        <v>74.86</v>
      </c>
      <c r="I48" s="7">
        <v>21.81</v>
      </c>
      <c r="J48" s="7">
        <v>0.14000000000000001</v>
      </c>
      <c r="K48" s="7">
        <v>0</v>
      </c>
      <c r="L48" s="7">
        <v>3.19</v>
      </c>
      <c r="M48" s="7">
        <v>78.47</v>
      </c>
      <c r="N48" s="7">
        <v>3.19</v>
      </c>
      <c r="O48" s="7">
        <v>18.190000000000001</v>
      </c>
      <c r="P48" s="7">
        <v>0.14000000000000001</v>
      </c>
      <c r="Q48" s="7">
        <v>0</v>
      </c>
    </row>
    <row r="49" spans="2:17" x14ac:dyDescent="0.3">
      <c r="B49" s="9">
        <v>67</v>
      </c>
      <c r="C49" s="7">
        <v>82.22</v>
      </c>
      <c r="D49" s="7">
        <v>10.28</v>
      </c>
      <c r="E49" s="7">
        <v>7.08</v>
      </c>
      <c r="F49" s="7">
        <v>0.28000000000000003</v>
      </c>
      <c r="G49" s="7">
        <v>0.14000000000000001</v>
      </c>
      <c r="H49" s="7">
        <v>80.14</v>
      </c>
      <c r="I49" s="7">
        <v>17.78</v>
      </c>
      <c r="J49" s="7">
        <v>0.56000000000000005</v>
      </c>
      <c r="K49" s="7">
        <v>0</v>
      </c>
      <c r="L49" s="7">
        <v>1.53</v>
      </c>
      <c r="M49" s="7">
        <v>74.44</v>
      </c>
      <c r="N49" s="7">
        <v>1.53</v>
      </c>
      <c r="O49" s="7">
        <v>23.47</v>
      </c>
      <c r="P49" s="7">
        <v>0.56000000000000005</v>
      </c>
      <c r="Q49" s="7">
        <v>0</v>
      </c>
    </row>
    <row r="50" spans="2:17" x14ac:dyDescent="0.3">
      <c r="B50" s="9">
        <v>68</v>
      </c>
      <c r="C50" s="7">
        <v>64.86</v>
      </c>
      <c r="D50" s="7">
        <v>8.61</v>
      </c>
      <c r="E50" s="7">
        <v>8.33</v>
      </c>
      <c r="F50" s="7">
        <v>4.8600000000000003</v>
      </c>
      <c r="G50" s="7">
        <v>13.33</v>
      </c>
      <c r="H50" s="7">
        <v>64.31</v>
      </c>
      <c r="I50" s="7">
        <v>9.7200000000000006</v>
      </c>
      <c r="J50" s="7">
        <v>6.11</v>
      </c>
      <c r="K50" s="7">
        <v>2.5</v>
      </c>
      <c r="L50" s="7">
        <v>17.36</v>
      </c>
      <c r="M50" s="7">
        <v>65.14</v>
      </c>
      <c r="N50" s="7">
        <v>8.61</v>
      </c>
      <c r="O50" s="7">
        <v>8.89</v>
      </c>
      <c r="P50" s="7">
        <v>8.61</v>
      </c>
      <c r="Q50" s="7">
        <v>8.75</v>
      </c>
    </row>
    <row r="51" spans="2:17" x14ac:dyDescent="0.3">
      <c r="B51" s="9">
        <v>69</v>
      </c>
      <c r="C51" s="7">
        <v>86.25</v>
      </c>
      <c r="D51" s="7">
        <v>8.33</v>
      </c>
      <c r="E51" s="7">
        <v>4.8600000000000003</v>
      </c>
      <c r="F51" s="7">
        <v>0</v>
      </c>
      <c r="G51" s="7">
        <v>0.56000000000000005</v>
      </c>
      <c r="H51" s="7">
        <v>73.33</v>
      </c>
      <c r="I51" s="7">
        <v>22.64</v>
      </c>
      <c r="J51" s="7">
        <v>0.42</v>
      </c>
      <c r="K51" s="7">
        <v>0</v>
      </c>
      <c r="L51" s="7">
        <v>3.61</v>
      </c>
      <c r="M51" s="7">
        <v>79.31</v>
      </c>
      <c r="N51" s="7">
        <v>3.33</v>
      </c>
      <c r="O51" s="7">
        <v>16.670000000000002</v>
      </c>
      <c r="P51" s="7">
        <v>0.42</v>
      </c>
      <c r="Q51" s="7">
        <v>0.28000000000000003</v>
      </c>
    </row>
    <row r="52" spans="2:17" x14ac:dyDescent="0.3">
      <c r="B52" s="9">
        <v>71</v>
      </c>
      <c r="C52" s="7">
        <v>79.17</v>
      </c>
      <c r="D52" s="7">
        <v>15</v>
      </c>
      <c r="E52" s="7">
        <v>4.03</v>
      </c>
      <c r="F52" s="7">
        <v>0</v>
      </c>
      <c r="G52" s="7">
        <v>1.81</v>
      </c>
      <c r="H52" s="7">
        <v>67.64</v>
      </c>
      <c r="I52" s="7">
        <v>24.86</v>
      </c>
      <c r="J52" s="7">
        <v>0.28000000000000003</v>
      </c>
      <c r="K52" s="7">
        <v>0</v>
      </c>
      <c r="L52" s="7">
        <v>7.22</v>
      </c>
      <c r="M52" s="7">
        <v>81.53</v>
      </c>
      <c r="N52" s="7">
        <v>6.67</v>
      </c>
      <c r="O52" s="7">
        <v>10.97</v>
      </c>
      <c r="P52" s="7">
        <v>0.28000000000000003</v>
      </c>
      <c r="Q52" s="7">
        <v>0.56000000000000005</v>
      </c>
    </row>
    <row r="53" spans="2:17" x14ac:dyDescent="0.3">
      <c r="B53" s="9">
        <v>72</v>
      </c>
      <c r="C53" s="7">
        <v>82.5</v>
      </c>
      <c r="D53" s="7">
        <v>11.67</v>
      </c>
      <c r="E53" s="7">
        <v>5.83</v>
      </c>
      <c r="F53" s="7">
        <v>0</v>
      </c>
      <c r="G53" s="7">
        <v>0</v>
      </c>
      <c r="H53" s="7">
        <v>74.58</v>
      </c>
      <c r="I53" s="7">
        <v>20.83</v>
      </c>
      <c r="J53" s="7">
        <v>1.1100000000000001</v>
      </c>
      <c r="K53" s="7">
        <v>0</v>
      </c>
      <c r="L53" s="7">
        <v>3.47</v>
      </c>
      <c r="M53" s="7">
        <v>77.5</v>
      </c>
      <c r="N53" s="7">
        <v>3.47</v>
      </c>
      <c r="O53" s="7">
        <v>17.920000000000002</v>
      </c>
      <c r="P53" s="7">
        <v>1.1100000000000001</v>
      </c>
      <c r="Q53" s="7">
        <v>0</v>
      </c>
    </row>
    <row r="54" spans="2:17" x14ac:dyDescent="0.3">
      <c r="B54" s="9">
        <v>73</v>
      </c>
      <c r="C54" s="7">
        <v>83.89</v>
      </c>
      <c r="D54" s="7">
        <v>7.78</v>
      </c>
      <c r="E54" s="7">
        <v>8.33</v>
      </c>
      <c r="F54" s="7">
        <v>0</v>
      </c>
      <c r="G54" s="7">
        <v>0</v>
      </c>
      <c r="H54" s="7">
        <v>78.75</v>
      </c>
      <c r="I54" s="7">
        <v>20</v>
      </c>
      <c r="J54" s="7">
        <v>0</v>
      </c>
      <c r="K54" s="7">
        <v>0</v>
      </c>
      <c r="L54" s="7">
        <v>1.25</v>
      </c>
      <c r="M54" s="7">
        <v>78.47</v>
      </c>
      <c r="N54" s="7">
        <v>1.25</v>
      </c>
      <c r="O54" s="7">
        <v>20.28</v>
      </c>
      <c r="P54" s="7">
        <v>0</v>
      </c>
      <c r="Q54" s="7">
        <v>0</v>
      </c>
    </row>
    <row r="55" spans="2:17" x14ac:dyDescent="0.3">
      <c r="B55" s="9">
        <v>74</v>
      </c>
      <c r="C55" s="7">
        <v>87.08</v>
      </c>
      <c r="D55" s="7">
        <v>7.64</v>
      </c>
      <c r="E55" s="7">
        <v>5.14</v>
      </c>
      <c r="F55" s="7">
        <v>0</v>
      </c>
      <c r="G55" s="7">
        <v>0.14000000000000001</v>
      </c>
      <c r="H55" s="7">
        <v>81.25</v>
      </c>
      <c r="I55" s="7">
        <v>16.25</v>
      </c>
      <c r="J55" s="7">
        <v>0.28000000000000003</v>
      </c>
      <c r="K55" s="7">
        <v>0</v>
      </c>
      <c r="L55" s="7">
        <v>2.2200000000000002</v>
      </c>
      <c r="M55" s="7">
        <v>74.72</v>
      </c>
      <c r="N55" s="7">
        <v>2.2200000000000002</v>
      </c>
      <c r="O55" s="7">
        <v>22.78</v>
      </c>
      <c r="P55" s="7">
        <v>0.28000000000000003</v>
      </c>
      <c r="Q55" s="7">
        <v>0</v>
      </c>
    </row>
    <row r="56" spans="2:17" x14ac:dyDescent="0.3">
      <c r="B56" s="9">
        <v>75</v>
      </c>
      <c r="C56" s="7">
        <v>79.86</v>
      </c>
      <c r="D56" s="7">
        <v>13.33</v>
      </c>
      <c r="E56" s="7">
        <v>5.28</v>
      </c>
      <c r="F56" s="7">
        <v>0.14000000000000001</v>
      </c>
      <c r="G56" s="7">
        <v>1.39</v>
      </c>
      <c r="H56" s="7">
        <v>71.25</v>
      </c>
      <c r="I56" s="7">
        <v>22.78</v>
      </c>
      <c r="J56" s="7">
        <v>1.25</v>
      </c>
      <c r="K56" s="7">
        <v>0</v>
      </c>
      <c r="L56" s="7">
        <v>4.72</v>
      </c>
      <c r="M56" s="7">
        <v>81.25</v>
      </c>
      <c r="N56" s="7">
        <v>4.58</v>
      </c>
      <c r="O56" s="7">
        <v>12.78</v>
      </c>
      <c r="P56" s="7">
        <v>1.25</v>
      </c>
      <c r="Q56" s="7">
        <v>0.14000000000000001</v>
      </c>
    </row>
    <row r="57" spans="2:17" x14ac:dyDescent="0.3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2:17" x14ac:dyDescent="0.3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2:17" x14ac:dyDescent="0.3">
      <c r="C59" s="3" t="s">
        <v>12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2:17" x14ac:dyDescent="0.3">
      <c r="C60" s="5" t="s">
        <v>0</v>
      </c>
      <c r="D60" s="5"/>
      <c r="E60" s="5"/>
      <c r="F60" s="5"/>
      <c r="G60" s="5"/>
      <c r="H60" s="3" t="s">
        <v>1</v>
      </c>
      <c r="I60" s="3"/>
      <c r="J60" s="3"/>
      <c r="K60" s="3"/>
      <c r="L60" s="3"/>
      <c r="M60" s="6" t="s">
        <v>2</v>
      </c>
      <c r="N60" s="6"/>
      <c r="O60" s="6"/>
      <c r="P60" s="6"/>
      <c r="Q60" s="6"/>
    </row>
    <row r="61" spans="2:17" x14ac:dyDescent="0.3">
      <c r="C61" s="4" t="s">
        <v>3</v>
      </c>
      <c r="D61" s="4" t="s">
        <v>4</v>
      </c>
      <c r="E61" s="4" t="s">
        <v>5</v>
      </c>
      <c r="F61" s="4" t="s">
        <v>6</v>
      </c>
      <c r="G61" s="4" t="s">
        <v>7</v>
      </c>
      <c r="H61" s="4" t="s">
        <v>3</v>
      </c>
      <c r="I61" s="4" t="s">
        <v>4</v>
      </c>
      <c r="J61" s="4" t="s">
        <v>5</v>
      </c>
      <c r="K61" s="4" t="s">
        <v>6</v>
      </c>
      <c r="L61" s="4" t="s">
        <v>7</v>
      </c>
      <c r="M61" s="4" t="s">
        <v>3</v>
      </c>
      <c r="N61" s="4" t="s">
        <v>4</v>
      </c>
      <c r="O61" s="4" t="s">
        <v>5</v>
      </c>
      <c r="P61" s="4" t="s">
        <v>6</v>
      </c>
      <c r="Q61" s="4" t="s">
        <v>7</v>
      </c>
    </row>
    <row r="62" spans="2:17" x14ac:dyDescent="0.3">
      <c r="B62" s="1" t="s">
        <v>8</v>
      </c>
      <c r="C62" s="7">
        <f>MIN(C5:C56)</f>
        <v>64.86</v>
      </c>
      <c r="D62" s="7">
        <f t="shared" ref="D62:Q62" si="0">MIN(D5:D56)</f>
        <v>4.03</v>
      </c>
      <c r="E62" s="7">
        <f t="shared" si="0"/>
        <v>0.42</v>
      </c>
      <c r="F62" s="7">
        <f t="shared" si="0"/>
        <v>0</v>
      </c>
      <c r="G62" s="7">
        <f t="shared" si="0"/>
        <v>0</v>
      </c>
      <c r="H62" s="7">
        <f t="shared" si="0"/>
        <v>60.56</v>
      </c>
      <c r="I62" s="7">
        <f t="shared" si="0"/>
        <v>9.7200000000000006</v>
      </c>
      <c r="J62" s="7">
        <f t="shared" si="0"/>
        <v>0</v>
      </c>
      <c r="K62" s="7">
        <f t="shared" si="0"/>
        <v>0</v>
      </c>
      <c r="L62" s="7">
        <f t="shared" si="0"/>
        <v>0.56000000000000005</v>
      </c>
      <c r="M62" s="7">
        <f t="shared" si="0"/>
        <v>65.14</v>
      </c>
      <c r="N62" s="7">
        <f t="shared" si="0"/>
        <v>0.56000000000000005</v>
      </c>
      <c r="O62" s="7">
        <f t="shared" si="0"/>
        <v>5.97</v>
      </c>
      <c r="P62" s="7">
        <f t="shared" si="0"/>
        <v>0</v>
      </c>
      <c r="Q62" s="7">
        <f t="shared" si="0"/>
        <v>0</v>
      </c>
    </row>
    <row r="63" spans="2:17" x14ac:dyDescent="0.3">
      <c r="B63" s="1" t="s">
        <v>9</v>
      </c>
      <c r="C63" s="7">
        <f>MAX(C5:C56)</f>
        <v>89.86</v>
      </c>
      <c r="D63" s="7">
        <f t="shared" ref="D63:Q63" si="1">MAX(D5:D56)</f>
        <v>20.56</v>
      </c>
      <c r="E63" s="7">
        <f t="shared" si="1"/>
        <v>14.86</v>
      </c>
      <c r="F63" s="7">
        <f t="shared" si="1"/>
        <v>4.8600000000000003</v>
      </c>
      <c r="G63" s="7">
        <f t="shared" si="1"/>
        <v>13.33</v>
      </c>
      <c r="H63" s="7">
        <f t="shared" si="1"/>
        <v>81.25</v>
      </c>
      <c r="I63" s="7">
        <f t="shared" si="1"/>
        <v>32.64</v>
      </c>
      <c r="J63" s="7">
        <f t="shared" si="1"/>
        <v>10</v>
      </c>
      <c r="K63" s="7">
        <f t="shared" si="1"/>
        <v>2.5</v>
      </c>
      <c r="L63" s="7">
        <f t="shared" si="1"/>
        <v>17.36</v>
      </c>
      <c r="M63" s="7">
        <f t="shared" si="1"/>
        <v>89.31</v>
      </c>
      <c r="N63" s="7">
        <f t="shared" si="1"/>
        <v>10.14</v>
      </c>
      <c r="O63" s="7">
        <f t="shared" si="1"/>
        <v>25.83</v>
      </c>
      <c r="P63" s="7">
        <f t="shared" si="1"/>
        <v>10.42</v>
      </c>
      <c r="Q63" s="7">
        <f t="shared" si="1"/>
        <v>8.75</v>
      </c>
    </row>
    <row r="64" spans="2:17" x14ac:dyDescent="0.3">
      <c r="B64" s="1" t="s">
        <v>10</v>
      </c>
      <c r="C64" s="7">
        <f>AVERAGE(C5:C56)</f>
        <v>81.869807692307688</v>
      </c>
      <c r="D64" s="7">
        <f t="shared" ref="D64:Q64" si="2">AVERAGE(D5:D56)</f>
        <v>11.840769230769229</v>
      </c>
      <c r="E64" s="7">
        <f t="shared" si="2"/>
        <v>4.7211538461538476</v>
      </c>
      <c r="F64" s="7">
        <f t="shared" si="2"/>
        <v>0.4532692307692307</v>
      </c>
      <c r="G64" s="7">
        <f t="shared" si="2"/>
        <v>1.114615384615385</v>
      </c>
      <c r="H64" s="7">
        <f t="shared" si="2"/>
        <v>71.287307692307678</v>
      </c>
      <c r="I64" s="7">
        <f t="shared" si="2"/>
        <v>23.162115384615387</v>
      </c>
      <c r="J64" s="7">
        <f t="shared" si="2"/>
        <v>0.91365384615384615</v>
      </c>
      <c r="K64" s="7">
        <f t="shared" si="2"/>
        <v>0.25096153846153846</v>
      </c>
      <c r="L64" s="7">
        <f t="shared" si="2"/>
        <v>4.3859615384615385</v>
      </c>
      <c r="M64" s="7">
        <f t="shared" si="2"/>
        <v>78.517500000000013</v>
      </c>
      <c r="N64" s="7">
        <f t="shared" si="2"/>
        <v>4.054615384615385</v>
      </c>
      <c r="O64" s="7">
        <f t="shared" si="2"/>
        <v>15.931538461538462</v>
      </c>
      <c r="P64" s="7">
        <f t="shared" si="2"/>
        <v>1.1646153846153846</v>
      </c>
      <c r="Q64" s="7">
        <f t="shared" si="2"/>
        <v>0.3315384615384615</v>
      </c>
    </row>
    <row r="65" spans="2:17" x14ac:dyDescent="0.3">
      <c r="B65" s="1" t="s">
        <v>11</v>
      </c>
      <c r="C65" s="7">
        <f>MEDIAN(C5:C56)</f>
        <v>82.289999999999992</v>
      </c>
      <c r="D65" s="7">
        <f t="shared" ref="D65:Q65" si="3">MEDIAN(D5:D56)</f>
        <v>12.085000000000001</v>
      </c>
      <c r="E65" s="7">
        <f t="shared" si="3"/>
        <v>4.51</v>
      </c>
      <c r="F65" s="7">
        <f t="shared" si="3"/>
        <v>0</v>
      </c>
      <c r="G65" s="7">
        <f t="shared" si="3"/>
        <v>0.56000000000000005</v>
      </c>
      <c r="H65" s="7">
        <f t="shared" si="3"/>
        <v>70.97</v>
      </c>
      <c r="I65" s="7">
        <f t="shared" si="3"/>
        <v>23.68</v>
      </c>
      <c r="J65" s="7">
        <f t="shared" si="3"/>
        <v>0.56000000000000005</v>
      </c>
      <c r="K65" s="7">
        <f t="shared" si="3"/>
        <v>0</v>
      </c>
      <c r="L65" s="7">
        <f t="shared" si="3"/>
        <v>3.6799999999999997</v>
      </c>
      <c r="M65" s="7">
        <f t="shared" si="3"/>
        <v>78.539999999999992</v>
      </c>
      <c r="N65" s="7">
        <f t="shared" si="3"/>
        <v>3.47</v>
      </c>
      <c r="O65" s="7">
        <f t="shared" si="3"/>
        <v>16.25</v>
      </c>
      <c r="P65" s="7">
        <f t="shared" si="3"/>
        <v>0.83</v>
      </c>
      <c r="Q65" s="7">
        <f t="shared" si="3"/>
        <v>0</v>
      </c>
    </row>
  </sheetData>
  <mergeCells count="8">
    <mergeCell ref="C2:Q2"/>
    <mergeCell ref="C59:Q59"/>
    <mergeCell ref="C3:G3"/>
    <mergeCell ref="H3:L3"/>
    <mergeCell ref="M3:Q3"/>
    <mergeCell ref="C60:G60"/>
    <mergeCell ref="H60:L60"/>
    <mergeCell ref="M60:Q60"/>
  </mergeCells>
  <conditionalFormatting sqref="C5:C56">
    <cfRule type="expression" dxfId="0" priority="1">
      <formula>OR(C5&lt;H5,C5&lt;M5)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2023-04-21T21:13:25Z</dcterms:created>
  <dcterms:modified xsi:type="dcterms:W3CDTF">2023-04-21T21:48:58Z</dcterms:modified>
</cp:coreProperties>
</file>