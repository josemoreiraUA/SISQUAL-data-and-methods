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Notebooks\pred_sizing_directly\results\"/>
    </mc:Choice>
  </mc:AlternateContent>
  <xr:revisionPtr revIDLastSave="0" documentId="13_ncr:1_{94C2D61D-B686-40C3-A0D3-73CF5ECBFD0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M8" i="1"/>
  <c r="L8" i="1"/>
  <c r="N7" i="1"/>
  <c r="M7" i="1"/>
  <c r="L7" i="1"/>
  <c r="N6" i="1"/>
  <c r="M6" i="1"/>
  <c r="L6" i="1"/>
  <c r="N5" i="1"/>
  <c r="M5" i="1"/>
  <c r="L5" i="1"/>
</calcChain>
</file>

<file path=xl/sharedStrings.xml><?xml version="1.0" encoding="utf-8"?>
<sst xmlns="http://schemas.openxmlformats.org/spreadsheetml/2006/main" count="20" uniqueCount="15">
  <si>
    <t>Store ID</t>
  </si>
  <si>
    <t>Mlp</t>
  </si>
  <si>
    <t>Sisq</t>
  </si>
  <si>
    <t>MAE</t>
  </si>
  <si>
    <t>MSE</t>
  </si>
  <si>
    <t>R2</t>
  </si>
  <si>
    <t>Mlp/Sisq</t>
  </si>
  <si>
    <t>Min</t>
  </si>
  <si>
    <t>Max</t>
  </si>
  <si>
    <t>Mean</t>
  </si>
  <si>
    <t>Median</t>
  </si>
  <si>
    <t>MLP</t>
  </si>
  <si>
    <t>SISQ</t>
  </si>
  <si>
    <t>MLP/SISQ</t>
  </si>
  <si>
    <t>Directly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</si>
</sst>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10" xfId="0" applyNumberFormat="1" applyBorder="1"/>
    <xf numFmtId="1" fontId="0" fillId="0" borderId="10" xfId="0" applyNumberForma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Team Size Forecast Comparison 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test_results!$C$2</c:f>
              <c:strCache>
                <c:ptCount val="1"/>
                <c:pt idx="0">
                  <c:v>Mlp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test_results!$B$4:$B$55</c:f>
              <c:numCache>
                <c:formatCode>0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test_results!$C$4:$C$55</c:f>
              <c:numCache>
                <c:formatCode>0.000</c:formatCode>
                <c:ptCount val="52"/>
                <c:pt idx="0">
                  <c:v>0.20104988921775699</c:v>
                </c:pt>
                <c:pt idx="1">
                  <c:v>0.20053879132949201</c:v>
                </c:pt>
                <c:pt idx="2">
                  <c:v>0.23436379326895601</c:v>
                </c:pt>
                <c:pt idx="3">
                  <c:v>0.167660294280703</c:v>
                </c:pt>
                <c:pt idx="4">
                  <c:v>0.19714352250004699</c:v>
                </c:pt>
                <c:pt idx="5">
                  <c:v>0.22339085560986899</c:v>
                </c:pt>
                <c:pt idx="6">
                  <c:v>0.14144632372160201</c:v>
                </c:pt>
                <c:pt idx="7">
                  <c:v>0.27617789287305999</c:v>
                </c:pt>
                <c:pt idx="8">
                  <c:v>0.26964443980071501</c:v>
                </c:pt>
                <c:pt idx="9">
                  <c:v>0.242743646829887</c:v>
                </c:pt>
                <c:pt idx="10">
                  <c:v>0.17548243267840599</c:v>
                </c:pt>
                <c:pt idx="11">
                  <c:v>0.19198771531244599</c:v>
                </c:pt>
                <c:pt idx="12">
                  <c:v>0.185194295839026</c:v>
                </c:pt>
                <c:pt idx="13">
                  <c:v>0.25991607964449198</c:v>
                </c:pt>
                <c:pt idx="14">
                  <c:v>0.164054324032819</c:v>
                </c:pt>
                <c:pt idx="15">
                  <c:v>0.22849508904768001</c:v>
                </c:pt>
                <c:pt idx="16">
                  <c:v>0.18441245407659501</c:v>
                </c:pt>
                <c:pt idx="17">
                  <c:v>0.26152002494453103</c:v>
                </c:pt>
                <c:pt idx="18">
                  <c:v>0.24469976171028501</c:v>
                </c:pt>
                <c:pt idx="19">
                  <c:v>0.21194074098329699</c:v>
                </c:pt>
                <c:pt idx="20">
                  <c:v>0.49805906825070201</c:v>
                </c:pt>
                <c:pt idx="21">
                  <c:v>0.19305527212307799</c:v>
                </c:pt>
                <c:pt idx="22">
                  <c:v>0.24177259167372001</c:v>
                </c:pt>
                <c:pt idx="23">
                  <c:v>0.23346885988726701</c:v>
                </c:pt>
                <c:pt idx="24">
                  <c:v>0.22175806179049901</c:v>
                </c:pt>
                <c:pt idx="25">
                  <c:v>0.229688971996553</c:v>
                </c:pt>
                <c:pt idx="26">
                  <c:v>0.206308306637912</c:v>
                </c:pt>
                <c:pt idx="27">
                  <c:v>0.20409750146105099</c:v>
                </c:pt>
                <c:pt idx="28">
                  <c:v>0.27302579841808999</c:v>
                </c:pt>
                <c:pt idx="29">
                  <c:v>0.17855394026889601</c:v>
                </c:pt>
                <c:pt idx="30">
                  <c:v>0.25687958159968799</c:v>
                </c:pt>
                <c:pt idx="31">
                  <c:v>0.29530941271532002</c:v>
                </c:pt>
                <c:pt idx="32">
                  <c:v>0.22680162805850501</c:v>
                </c:pt>
                <c:pt idx="33">
                  <c:v>0.24683562596224001</c:v>
                </c:pt>
                <c:pt idx="34">
                  <c:v>0.21353844132211999</c:v>
                </c:pt>
                <c:pt idx="35">
                  <c:v>0.17277283333272</c:v>
                </c:pt>
                <c:pt idx="36">
                  <c:v>0.245768853370638</c:v>
                </c:pt>
                <c:pt idx="37">
                  <c:v>0.21068599174002201</c:v>
                </c:pt>
                <c:pt idx="38">
                  <c:v>0.21838298505374501</c:v>
                </c:pt>
                <c:pt idx="39">
                  <c:v>0.23543966135054401</c:v>
                </c:pt>
                <c:pt idx="40">
                  <c:v>0.22747656837174399</c:v>
                </c:pt>
                <c:pt idx="41">
                  <c:v>0.21339725035957</c:v>
                </c:pt>
                <c:pt idx="42">
                  <c:v>0.28736759773340398</c:v>
                </c:pt>
                <c:pt idx="43">
                  <c:v>0.21681200111263199</c:v>
                </c:pt>
                <c:pt idx="44">
                  <c:v>0.20252523831045499</c:v>
                </c:pt>
                <c:pt idx="45">
                  <c:v>0.646860032868802</c:v>
                </c:pt>
                <c:pt idx="46">
                  <c:v>0.182649225457828</c:v>
                </c:pt>
                <c:pt idx="47">
                  <c:v>0.25917303841627698</c:v>
                </c:pt>
                <c:pt idx="48">
                  <c:v>0.21355681527866799</c:v>
                </c:pt>
                <c:pt idx="49">
                  <c:v>0.18553202412030001</c:v>
                </c:pt>
                <c:pt idx="50">
                  <c:v>0.15748257831610599</c:v>
                </c:pt>
                <c:pt idx="51">
                  <c:v>0.23232056213230901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E-4298-9F30-B43A16B2486B}"/>
            </c:ext>
          </c:extLst>
        </c:ser>
        <c:ser>
          <c:idx val="1"/>
          <c:order val="1"/>
          <c:tx>
            <c:strRef>
              <c:f>test_results!$F$2</c:f>
              <c:strCache>
                <c:ptCount val="1"/>
                <c:pt idx="0">
                  <c:v>Sisq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test_results!$B$4:$B$55</c:f>
              <c:numCache>
                <c:formatCode>0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test_results!$F$4:$F$55</c:f>
              <c:numCache>
                <c:formatCode>0.000</c:formatCode>
                <c:ptCount val="52"/>
                <c:pt idx="0">
                  <c:v>0.20694444444444399</c:v>
                </c:pt>
                <c:pt idx="1">
                  <c:v>0.233333333333333</c:v>
                </c:pt>
                <c:pt idx="2">
                  <c:v>0.28333333333333299</c:v>
                </c:pt>
                <c:pt idx="3">
                  <c:v>0.23749999999999999</c:v>
                </c:pt>
                <c:pt idx="4">
                  <c:v>0.266666666666666</c:v>
                </c:pt>
                <c:pt idx="5">
                  <c:v>0.38611111111111102</c:v>
                </c:pt>
                <c:pt idx="6">
                  <c:v>0.31805555555555498</c:v>
                </c:pt>
                <c:pt idx="7">
                  <c:v>0.227777777777777</c:v>
                </c:pt>
                <c:pt idx="8">
                  <c:v>0.37777777777777699</c:v>
                </c:pt>
                <c:pt idx="9">
                  <c:v>0.25833333333333303</c:v>
                </c:pt>
                <c:pt idx="10">
                  <c:v>0.218055555555555</c:v>
                </c:pt>
                <c:pt idx="11">
                  <c:v>0.47083333333333299</c:v>
                </c:pt>
                <c:pt idx="12">
                  <c:v>0.33333333333333298</c:v>
                </c:pt>
                <c:pt idx="13">
                  <c:v>0.41666666666666602</c:v>
                </c:pt>
                <c:pt idx="14">
                  <c:v>0.32500000000000001</c:v>
                </c:pt>
                <c:pt idx="15">
                  <c:v>0.25555555555555498</c:v>
                </c:pt>
                <c:pt idx="16">
                  <c:v>0.28611111111111098</c:v>
                </c:pt>
                <c:pt idx="17">
                  <c:v>0.33055555555555499</c:v>
                </c:pt>
                <c:pt idx="18">
                  <c:v>0.25972222222222202</c:v>
                </c:pt>
                <c:pt idx="19">
                  <c:v>0.48611111111111099</c:v>
                </c:pt>
                <c:pt idx="20">
                  <c:v>0.77638888888888802</c:v>
                </c:pt>
                <c:pt idx="21">
                  <c:v>0.39583333333333298</c:v>
                </c:pt>
                <c:pt idx="22">
                  <c:v>0.26944444444444399</c:v>
                </c:pt>
                <c:pt idx="23">
                  <c:v>0.218055555555555</c:v>
                </c:pt>
                <c:pt idx="24">
                  <c:v>0.23611111111111099</c:v>
                </c:pt>
                <c:pt idx="25">
                  <c:v>0.22500000000000001</c:v>
                </c:pt>
                <c:pt idx="26">
                  <c:v>0.22361111111111101</c:v>
                </c:pt>
                <c:pt idx="27">
                  <c:v>0.38472222222222202</c:v>
                </c:pt>
                <c:pt idx="28">
                  <c:v>0.23611111111111099</c:v>
                </c:pt>
                <c:pt idx="29">
                  <c:v>0.34861111111111098</c:v>
                </c:pt>
                <c:pt idx="30">
                  <c:v>0.24861111111111101</c:v>
                </c:pt>
                <c:pt idx="31">
                  <c:v>0.31805555555555498</c:v>
                </c:pt>
                <c:pt idx="32">
                  <c:v>0.37916666666666599</c:v>
                </c:pt>
                <c:pt idx="33">
                  <c:v>0.31666666666666599</c:v>
                </c:pt>
                <c:pt idx="34">
                  <c:v>0.26388888888888801</c:v>
                </c:pt>
                <c:pt idx="35">
                  <c:v>0.29861111111111099</c:v>
                </c:pt>
                <c:pt idx="36">
                  <c:v>0.148611111111111</c:v>
                </c:pt>
                <c:pt idx="37">
                  <c:v>0.35555555555555501</c:v>
                </c:pt>
                <c:pt idx="38">
                  <c:v>0.20694444444444399</c:v>
                </c:pt>
                <c:pt idx="39">
                  <c:v>0.26388888888888801</c:v>
                </c:pt>
                <c:pt idx="40">
                  <c:v>0.243055555555555</c:v>
                </c:pt>
                <c:pt idx="41">
                  <c:v>0.28472222222222199</c:v>
                </c:pt>
                <c:pt idx="42">
                  <c:v>0.25972222222222202</c:v>
                </c:pt>
                <c:pt idx="43">
                  <c:v>0.469444444444444</c:v>
                </c:pt>
                <c:pt idx="44">
                  <c:v>0.329166666666666</c:v>
                </c:pt>
                <c:pt idx="45">
                  <c:v>2.0694444444444402</c:v>
                </c:pt>
                <c:pt idx="46">
                  <c:v>0.28749999999999998</c:v>
                </c:pt>
                <c:pt idx="47">
                  <c:v>0.31944444444444398</c:v>
                </c:pt>
                <c:pt idx="48">
                  <c:v>0.28888888888888797</c:v>
                </c:pt>
                <c:pt idx="49">
                  <c:v>0.3</c:v>
                </c:pt>
                <c:pt idx="50">
                  <c:v>0.15416666666666601</c:v>
                </c:pt>
                <c:pt idx="51">
                  <c:v>0.25694444444444398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DE-4298-9F30-B43A16B2486B}"/>
            </c:ext>
          </c:extLst>
        </c:ser>
        <c:ser>
          <c:idx val="2"/>
          <c:order val="2"/>
          <c:tx>
            <c:strRef>
              <c:f>test_results!$I$3</c:f>
              <c:strCache>
                <c:ptCount val="1"/>
                <c:pt idx="0">
                  <c:v>Mlp/Sisq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test_results!$B$4:$B$55</c:f>
              <c:numCache>
                <c:formatCode>0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test_results!$I$4:$I$55</c:f>
              <c:numCache>
                <c:formatCode>0.000</c:formatCode>
                <c:ptCount val="52"/>
                <c:pt idx="0">
                  <c:v>0.97151624319989904</c:v>
                </c:pt>
                <c:pt idx="1">
                  <c:v>0.85945196284068004</c:v>
                </c:pt>
                <c:pt idx="2">
                  <c:v>0.82716632918455102</c:v>
                </c:pt>
                <c:pt idx="3">
                  <c:v>0.70593808118191004</c:v>
                </c:pt>
                <c:pt idx="4">
                  <c:v>0.73928820937517703</c:v>
                </c:pt>
                <c:pt idx="5">
                  <c:v>0.57856624474498597</c:v>
                </c:pt>
                <c:pt idx="6">
                  <c:v>0.44472206584958102</c:v>
                </c:pt>
                <c:pt idx="7">
                  <c:v>1.2124883101744099</c:v>
                </c:pt>
                <c:pt idx="8">
                  <c:v>0.71376469359012995</c:v>
                </c:pt>
                <c:pt idx="9">
                  <c:v>0.93965282643827197</c:v>
                </c:pt>
                <c:pt idx="10">
                  <c:v>0.80476020081817101</c:v>
                </c:pt>
                <c:pt idx="11">
                  <c:v>0.40776151924767401</c:v>
                </c:pt>
                <c:pt idx="12">
                  <c:v>0.55558288751707796</c:v>
                </c:pt>
                <c:pt idx="13">
                  <c:v>0.62379859114678204</c:v>
                </c:pt>
                <c:pt idx="14">
                  <c:v>0.50478253548559804</c:v>
                </c:pt>
                <c:pt idx="15">
                  <c:v>0.89411121801266302</c:v>
                </c:pt>
                <c:pt idx="16">
                  <c:v>0.64454838318033503</c:v>
                </c:pt>
                <c:pt idx="17">
                  <c:v>0.79115301663891702</c:v>
                </c:pt>
                <c:pt idx="18">
                  <c:v>0.94215951032837197</c:v>
                </c:pt>
                <c:pt idx="19">
                  <c:v>0.43599238145135399</c:v>
                </c:pt>
                <c:pt idx="20">
                  <c:v>0.64150720776476899</c:v>
                </c:pt>
                <c:pt idx="21">
                  <c:v>0.48771858220567099</c:v>
                </c:pt>
                <c:pt idx="22">
                  <c:v>0.89730034023236405</c:v>
                </c:pt>
                <c:pt idx="23">
                  <c:v>1.0706852173174</c:v>
                </c:pt>
                <c:pt idx="24">
                  <c:v>0.93921061464211497</c:v>
                </c:pt>
                <c:pt idx="25">
                  <c:v>1.0208398755402299</c:v>
                </c:pt>
                <c:pt idx="26">
                  <c:v>0.92262099862917502</c:v>
                </c:pt>
                <c:pt idx="27">
                  <c:v>0.53050614098179305</c:v>
                </c:pt>
                <c:pt idx="28">
                  <c:v>1.1563445580060201</c:v>
                </c:pt>
                <c:pt idx="29">
                  <c:v>0.51218660156814999</c:v>
                </c:pt>
                <c:pt idx="30">
                  <c:v>1.0332586522445499</c:v>
                </c:pt>
                <c:pt idx="31">
                  <c:v>0.92848374303506798</c:v>
                </c:pt>
                <c:pt idx="32">
                  <c:v>0.59815813993452005</c:v>
                </c:pt>
                <c:pt idx="33">
                  <c:v>0.779480924091285</c:v>
                </c:pt>
                <c:pt idx="34">
                  <c:v>0.80919830395750703</c:v>
                </c:pt>
                <c:pt idx="35">
                  <c:v>0.57858809302120295</c:v>
                </c:pt>
                <c:pt idx="36">
                  <c:v>1.6537717236155101</c:v>
                </c:pt>
                <c:pt idx="37">
                  <c:v>0.59255435176881299</c:v>
                </c:pt>
                <c:pt idx="38">
                  <c:v>1.05527348482346</c:v>
                </c:pt>
                <c:pt idx="39">
                  <c:v>0.89219240090732799</c:v>
                </c:pt>
                <c:pt idx="40">
                  <c:v>0.93590359558660496</c:v>
                </c:pt>
                <c:pt idx="41">
                  <c:v>0.74949278175068701</c:v>
                </c:pt>
                <c:pt idx="42">
                  <c:v>1.1064420875296801</c:v>
                </c:pt>
                <c:pt idx="43">
                  <c:v>0.46184804970738202</c:v>
                </c:pt>
                <c:pt idx="44">
                  <c:v>0.61526654676594095</c:v>
                </c:pt>
                <c:pt idx="45">
                  <c:v>0.31257666017821301</c:v>
                </c:pt>
                <c:pt idx="46">
                  <c:v>0.63530165376635805</c:v>
                </c:pt>
                <c:pt idx="47">
                  <c:v>0.81132429417269303</c:v>
                </c:pt>
                <c:pt idx="48">
                  <c:v>0.73923512981077399</c:v>
                </c:pt>
                <c:pt idx="49">
                  <c:v>0.61844008040100196</c:v>
                </c:pt>
                <c:pt idx="50">
                  <c:v>1.02150861610447</c:v>
                </c:pt>
                <c:pt idx="51">
                  <c:v>0.90416651208250198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DE-4298-9F30-B43A16B24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671968"/>
        <c:axId val="1292789152"/>
      </c:lineChart>
      <c:catAx>
        <c:axId val="1472671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89152"/>
        <c:crosses val="autoZero"/>
        <c:auto val="1"/>
        <c:lblAlgn val="ctr"/>
        <c:lblOffset val="100"/>
        <c:noMultiLvlLbl val="0"/>
      </c:catAx>
      <c:valAx>
        <c:axId val="12927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67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9</xdr:row>
      <xdr:rowOff>137160</xdr:rowOff>
    </xdr:from>
    <xdr:to>
      <xdr:col>30</xdr:col>
      <xdr:colOff>175260</xdr:colOff>
      <xdr:row>44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1ADFD-BDC7-DBD2-2AAD-978FEF064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55"/>
  <sheetViews>
    <sheetView tabSelected="1" workbookViewId="0">
      <selection activeCell="K3" sqref="K3"/>
    </sheetView>
  </sheetViews>
  <sheetFormatPr defaultRowHeight="14.4" x14ac:dyDescent="0.3"/>
  <cols>
    <col min="2" max="2" width="12" style="1" customWidth="1"/>
    <col min="3" max="3" width="19.44140625" customWidth="1"/>
    <col min="4" max="4" width="19" customWidth="1"/>
    <col min="5" max="5" width="13.44140625" customWidth="1"/>
    <col min="6" max="6" width="14.44140625" customWidth="1"/>
    <col min="7" max="7" width="14.33203125" customWidth="1"/>
    <col min="8" max="8" width="15.6640625" customWidth="1"/>
    <col min="9" max="9" width="17.44140625" customWidth="1"/>
    <col min="14" max="14" width="12.5546875" customWidth="1"/>
  </cols>
  <sheetData>
    <row r="1" spans="2:14" x14ac:dyDescent="0.3">
      <c r="K1" s="8" t="s">
        <v>14</v>
      </c>
      <c r="L1" s="8"/>
      <c r="M1" s="8"/>
      <c r="N1" s="8"/>
    </row>
    <row r="2" spans="2:14" x14ac:dyDescent="0.3">
      <c r="B2" s="4"/>
      <c r="C2" s="7" t="s">
        <v>1</v>
      </c>
      <c r="D2" s="7"/>
      <c r="E2" s="7"/>
      <c r="F2" s="7" t="s">
        <v>2</v>
      </c>
      <c r="G2" s="7"/>
      <c r="H2" s="7"/>
      <c r="I2" s="5" t="s">
        <v>3</v>
      </c>
    </row>
    <row r="3" spans="2:14" x14ac:dyDescent="0.3">
      <c r="B3" s="6" t="s">
        <v>0</v>
      </c>
      <c r="C3" s="6" t="s">
        <v>3</v>
      </c>
      <c r="D3" s="6" t="s">
        <v>4</v>
      </c>
      <c r="E3" s="6" t="s">
        <v>5</v>
      </c>
      <c r="F3" s="6" t="s">
        <v>3</v>
      </c>
      <c r="G3" s="6" t="s">
        <v>4</v>
      </c>
      <c r="H3" s="6" t="s">
        <v>5</v>
      </c>
      <c r="I3" s="6" t="s">
        <v>6</v>
      </c>
      <c r="L3" s="7" t="s">
        <v>3</v>
      </c>
      <c r="M3" s="7"/>
      <c r="N3" s="7"/>
    </row>
    <row r="4" spans="2:14" x14ac:dyDescent="0.3">
      <c r="B4" s="3">
        <v>10</v>
      </c>
      <c r="C4" s="2">
        <v>0.20104988921775699</v>
      </c>
      <c r="D4" s="2">
        <v>0.42704628641723402</v>
      </c>
      <c r="E4" s="2">
        <v>0.94212645742391798</v>
      </c>
      <c r="F4" s="2">
        <v>0.20694444444444399</v>
      </c>
      <c r="G4" s="2">
        <v>0.52836224947157795</v>
      </c>
      <c r="H4" s="2">
        <v>0.91140815850544699</v>
      </c>
      <c r="I4" s="2">
        <v>0.97151624319989904</v>
      </c>
      <c r="K4" s="9"/>
      <c r="L4" s="5" t="s">
        <v>11</v>
      </c>
      <c r="M4" s="5" t="s">
        <v>12</v>
      </c>
      <c r="N4" s="5" t="s">
        <v>13</v>
      </c>
    </row>
    <row r="5" spans="2:14" x14ac:dyDescent="0.3">
      <c r="B5" s="3">
        <v>11</v>
      </c>
      <c r="C5" s="2">
        <v>0.20053879132949201</v>
      </c>
      <c r="D5" s="2">
        <v>0.41939555648334398</v>
      </c>
      <c r="E5" s="2">
        <v>0.947411886216036</v>
      </c>
      <c r="F5" s="2">
        <v>0.233333333333333</v>
      </c>
      <c r="G5" s="2">
        <v>0.50552502960343604</v>
      </c>
      <c r="H5" s="2">
        <v>0.92359438584835096</v>
      </c>
      <c r="I5" s="2">
        <v>0.85945196284068004</v>
      </c>
      <c r="K5" s="10" t="s">
        <v>7</v>
      </c>
      <c r="L5" s="2">
        <f>MIN(C4:C55)</f>
        <v>0.14144632372160201</v>
      </c>
      <c r="M5" s="2">
        <f>MIN(F4:F55)</f>
        <v>0.148611111111111</v>
      </c>
      <c r="N5" s="2">
        <f>MIN(I4:I55)</f>
        <v>0.31257666017821301</v>
      </c>
    </row>
    <row r="6" spans="2:14" x14ac:dyDescent="0.3">
      <c r="B6" s="3">
        <v>13</v>
      </c>
      <c r="C6" s="2">
        <v>0.23436379326895601</v>
      </c>
      <c r="D6" s="2">
        <v>0.43494999395555201</v>
      </c>
      <c r="E6" s="2">
        <v>0.925282129449153</v>
      </c>
      <c r="F6" s="2">
        <v>0.28333333333333299</v>
      </c>
      <c r="G6" s="2">
        <v>0.58689389538863301</v>
      </c>
      <c r="H6" s="2">
        <v>0.86396050466264396</v>
      </c>
      <c r="I6" s="2">
        <v>0.82716632918455102</v>
      </c>
      <c r="K6" s="10" t="s">
        <v>8</v>
      </c>
      <c r="L6" s="2">
        <f>MAX(C4:C55)</f>
        <v>0.646860032868802</v>
      </c>
      <c r="M6" s="2">
        <f>MAX(F4:F55)</f>
        <v>2.0694444444444402</v>
      </c>
      <c r="N6" s="2">
        <f>MAX(I4:I55)</f>
        <v>1.6537717236155101</v>
      </c>
    </row>
    <row r="7" spans="2:14" x14ac:dyDescent="0.3">
      <c r="B7" s="3">
        <v>14</v>
      </c>
      <c r="C7" s="2">
        <v>0.167660294280703</v>
      </c>
      <c r="D7" s="2">
        <v>0.343216518424318</v>
      </c>
      <c r="E7" s="2">
        <v>0.946353289890564</v>
      </c>
      <c r="F7" s="2">
        <v>0.23749999999999999</v>
      </c>
      <c r="G7" s="2">
        <v>0.51774081890030199</v>
      </c>
      <c r="H7" s="2">
        <v>0.87792364781288601</v>
      </c>
      <c r="I7" s="2">
        <v>0.70593808118191004</v>
      </c>
      <c r="K7" s="10" t="s">
        <v>9</v>
      </c>
      <c r="L7" s="2">
        <f>AVERAGE(C4:C55)</f>
        <v>0.23248497475371288</v>
      </c>
      <c r="M7" s="2">
        <f>AVERAGE(F4:F55)</f>
        <v>0.33758012820512767</v>
      </c>
      <c r="N7" s="2">
        <f>AVERAGE(I4:I55)</f>
        <v>0.78093444562595704</v>
      </c>
    </row>
    <row r="8" spans="2:14" x14ac:dyDescent="0.3">
      <c r="B8" s="3">
        <v>15</v>
      </c>
      <c r="C8" s="2">
        <v>0.19714352250004699</v>
      </c>
      <c r="D8" s="2">
        <v>0.37259711259750999</v>
      </c>
      <c r="E8" s="2">
        <v>0.92148969208303499</v>
      </c>
      <c r="F8" s="2">
        <v>0.266666666666666</v>
      </c>
      <c r="G8" s="2">
        <v>0.55277079839256604</v>
      </c>
      <c r="H8" s="2">
        <v>0.827202324914173</v>
      </c>
      <c r="I8" s="2">
        <v>0.73928820937517703</v>
      </c>
      <c r="K8" s="10" t="s">
        <v>10</v>
      </c>
      <c r="L8" s="2">
        <f>MEDIAN(C4:C55)</f>
        <v>0.22007052342212202</v>
      </c>
      <c r="M8" s="2">
        <f>MEDIAN(F4:F55)</f>
        <v>0.28541666666666649</v>
      </c>
      <c r="N8" s="2">
        <f>MEDIAN(I4:I55)</f>
        <v>0.78531697036510106</v>
      </c>
    </row>
    <row r="9" spans="2:14" x14ac:dyDescent="0.3">
      <c r="B9" s="3">
        <v>16</v>
      </c>
      <c r="C9" s="2">
        <v>0.22339085560986899</v>
      </c>
      <c r="D9" s="2">
        <v>0.42254920067354901</v>
      </c>
      <c r="E9" s="2">
        <v>0.92084059408425301</v>
      </c>
      <c r="F9" s="2">
        <v>0.38611111111111102</v>
      </c>
      <c r="G9" s="2">
        <v>0.73598007219398698</v>
      </c>
      <c r="H9" s="2">
        <v>0.75985139522234202</v>
      </c>
      <c r="I9" s="2">
        <v>0.57856624474498597</v>
      </c>
    </row>
    <row r="10" spans="2:14" x14ac:dyDescent="0.3">
      <c r="B10" s="3">
        <v>17</v>
      </c>
      <c r="C10" s="2">
        <v>0.14144632372160201</v>
      </c>
      <c r="D10" s="2">
        <v>0.29370504132931202</v>
      </c>
      <c r="E10" s="2">
        <v>0.94095312747895499</v>
      </c>
      <c r="F10" s="2">
        <v>0.31805555555555498</v>
      </c>
      <c r="G10" s="2">
        <v>0.657224805104345</v>
      </c>
      <c r="H10" s="2">
        <v>0.70433358861277595</v>
      </c>
      <c r="I10" s="2">
        <v>0.44472206584958102</v>
      </c>
    </row>
    <row r="11" spans="2:14" x14ac:dyDescent="0.3">
      <c r="B11" s="3">
        <v>18</v>
      </c>
      <c r="C11" s="2">
        <v>0.27617789287305999</v>
      </c>
      <c r="D11" s="2">
        <v>0.52996288252818602</v>
      </c>
      <c r="E11" s="2">
        <v>0.91098174765637996</v>
      </c>
      <c r="F11" s="2">
        <v>0.227777777777777</v>
      </c>
      <c r="G11" s="2">
        <v>0.49159604012508701</v>
      </c>
      <c r="H11" s="2">
        <v>0.92340420848875504</v>
      </c>
      <c r="I11" s="2">
        <v>1.2124883101744099</v>
      </c>
    </row>
    <row r="12" spans="2:14" x14ac:dyDescent="0.3">
      <c r="B12" s="3">
        <v>19</v>
      </c>
      <c r="C12" s="2">
        <v>0.26964443980071501</v>
      </c>
      <c r="D12" s="2">
        <v>0.55396405262126303</v>
      </c>
      <c r="E12" s="2">
        <v>0.92678885013977996</v>
      </c>
      <c r="F12" s="2">
        <v>0.37777777777777699</v>
      </c>
      <c r="G12" s="2">
        <v>0.71492035298423995</v>
      </c>
      <c r="H12" s="2">
        <v>0.87806471921198503</v>
      </c>
      <c r="I12" s="2">
        <v>0.71376469359012995</v>
      </c>
    </row>
    <row r="13" spans="2:14" x14ac:dyDescent="0.3">
      <c r="B13" s="3">
        <v>20</v>
      </c>
      <c r="C13" s="2">
        <v>0.242743646829887</v>
      </c>
      <c r="D13" s="2">
        <v>0.47841403460231802</v>
      </c>
      <c r="E13" s="2">
        <v>0.92456189759693397</v>
      </c>
      <c r="F13" s="2">
        <v>0.25833333333333303</v>
      </c>
      <c r="G13" s="2">
        <v>0.562731433871137</v>
      </c>
      <c r="H13" s="2">
        <v>0.89562769299435196</v>
      </c>
      <c r="I13" s="2">
        <v>0.93965282643827197</v>
      </c>
    </row>
    <row r="14" spans="2:14" x14ac:dyDescent="0.3">
      <c r="B14" s="3">
        <v>21</v>
      </c>
      <c r="C14" s="2">
        <v>0.17548243267840599</v>
      </c>
      <c r="D14" s="2">
        <v>0.36346191247278198</v>
      </c>
      <c r="E14" s="2">
        <v>0.94071962178679502</v>
      </c>
      <c r="F14" s="2">
        <v>0.218055555555555</v>
      </c>
      <c r="G14" s="2">
        <v>0.48448139512495397</v>
      </c>
      <c r="H14" s="2">
        <v>0.89467114597066</v>
      </c>
      <c r="I14" s="2">
        <v>0.80476020081817101</v>
      </c>
    </row>
    <row r="15" spans="2:14" x14ac:dyDescent="0.3">
      <c r="B15" s="3">
        <v>22</v>
      </c>
      <c r="C15" s="2">
        <v>0.19198771531244599</v>
      </c>
      <c r="D15" s="2">
        <v>0.373000665518534</v>
      </c>
      <c r="E15" s="2">
        <v>0.86784315379391597</v>
      </c>
      <c r="F15" s="2">
        <v>0.47083333333333299</v>
      </c>
      <c r="G15" s="2">
        <v>0.87002554240921204</v>
      </c>
      <c r="H15" s="2">
        <v>0.28099078151024898</v>
      </c>
      <c r="I15" s="2">
        <v>0.40776151924767401</v>
      </c>
    </row>
    <row r="16" spans="2:14" x14ac:dyDescent="0.3">
      <c r="B16" s="3">
        <v>25</v>
      </c>
      <c r="C16" s="2">
        <v>0.185194295839026</v>
      </c>
      <c r="D16" s="2">
        <v>0.34666030285389698</v>
      </c>
      <c r="E16" s="2">
        <v>0.94015430465289396</v>
      </c>
      <c r="F16" s="2">
        <v>0.33333333333333298</v>
      </c>
      <c r="G16" s="2">
        <v>0.67700320038633</v>
      </c>
      <c r="H16" s="2">
        <v>0.77175244362256501</v>
      </c>
      <c r="I16" s="2">
        <v>0.55558288751707796</v>
      </c>
    </row>
    <row r="17" spans="2:9" x14ac:dyDescent="0.3">
      <c r="B17" s="3">
        <v>26</v>
      </c>
      <c r="C17" s="2">
        <v>0.25991607964449198</v>
      </c>
      <c r="D17" s="2">
        <v>0.48399386059018201</v>
      </c>
      <c r="E17" s="2">
        <v>0.87855262566763404</v>
      </c>
      <c r="F17" s="2">
        <v>0.41666666666666602</v>
      </c>
      <c r="G17" s="2">
        <v>0.767390962214755</v>
      </c>
      <c r="H17" s="2">
        <v>0.69468946894689398</v>
      </c>
      <c r="I17" s="2">
        <v>0.62379859114678204</v>
      </c>
    </row>
    <row r="18" spans="2:9" x14ac:dyDescent="0.3">
      <c r="B18" s="3">
        <v>30</v>
      </c>
      <c r="C18" s="2">
        <v>0.164054324032819</v>
      </c>
      <c r="D18" s="2">
        <v>0.32170336555100298</v>
      </c>
      <c r="E18" s="2">
        <v>0.89391854900354595</v>
      </c>
      <c r="F18" s="2">
        <v>0.32500000000000001</v>
      </c>
      <c r="G18" s="2">
        <v>0.58925565098878896</v>
      </c>
      <c r="H18" s="2">
        <v>0.64409363501011296</v>
      </c>
      <c r="I18" s="2">
        <v>0.50478253548559804</v>
      </c>
    </row>
    <row r="19" spans="2:9" x14ac:dyDescent="0.3">
      <c r="B19" s="3">
        <v>31</v>
      </c>
      <c r="C19" s="2">
        <v>0.22849508904768001</v>
      </c>
      <c r="D19" s="2">
        <v>0.40678429544705103</v>
      </c>
      <c r="E19" s="2">
        <v>0.92885671459997798</v>
      </c>
      <c r="F19" s="2">
        <v>0.25555555555555498</v>
      </c>
      <c r="G19" s="2">
        <v>0.54518090779320405</v>
      </c>
      <c r="H19" s="2">
        <v>0.87221295187417602</v>
      </c>
      <c r="I19" s="2">
        <v>0.89411121801266302</v>
      </c>
    </row>
    <row r="20" spans="2:9" x14ac:dyDescent="0.3">
      <c r="B20" s="3">
        <v>32</v>
      </c>
      <c r="C20" s="2">
        <v>0.18441245407659501</v>
      </c>
      <c r="D20" s="2">
        <v>0.32188131213333199</v>
      </c>
      <c r="E20" s="2">
        <v>0.88064380364002903</v>
      </c>
      <c r="F20" s="2">
        <v>0.28611111111111098</v>
      </c>
      <c r="G20" s="2">
        <v>0.60323203569512795</v>
      </c>
      <c r="H20" s="2">
        <v>0.58079906844237394</v>
      </c>
      <c r="I20" s="2">
        <v>0.64454838318033503</v>
      </c>
    </row>
    <row r="21" spans="2:9" x14ac:dyDescent="0.3">
      <c r="B21" s="3">
        <v>33</v>
      </c>
      <c r="C21" s="2">
        <v>0.26152002494453103</v>
      </c>
      <c r="D21" s="2">
        <v>0.51422138236920001</v>
      </c>
      <c r="E21" s="2">
        <v>0.93248745080446205</v>
      </c>
      <c r="F21" s="2">
        <v>0.33055555555555499</v>
      </c>
      <c r="G21" s="2">
        <v>0.67905162624877802</v>
      </c>
      <c r="H21" s="2">
        <v>0.88226927161006996</v>
      </c>
      <c r="I21" s="2">
        <v>0.79115301663891702</v>
      </c>
    </row>
    <row r="22" spans="2:9" x14ac:dyDescent="0.3">
      <c r="B22" s="3">
        <v>34</v>
      </c>
      <c r="C22" s="2">
        <v>0.24469976171028501</v>
      </c>
      <c r="D22" s="2">
        <v>0.46472511146873902</v>
      </c>
      <c r="E22" s="2">
        <v>0.92175277715352699</v>
      </c>
      <c r="F22" s="2">
        <v>0.25972222222222202</v>
      </c>
      <c r="G22" s="2">
        <v>0.55652692856880004</v>
      </c>
      <c r="H22" s="2">
        <v>0.88778548969095505</v>
      </c>
      <c r="I22" s="2">
        <v>0.94215951032837197</v>
      </c>
    </row>
    <row r="23" spans="2:9" x14ac:dyDescent="0.3">
      <c r="B23" s="3">
        <v>35</v>
      </c>
      <c r="C23" s="2">
        <v>0.21194074098329699</v>
      </c>
      <c r="D23" s="2">
        <v>0.403419316108376</v>
      </c>
      <c r="E23" s="2">
        <v>0.90770473195762003</v>
      </c>
      <c r="F23" s="2">
        <v>0.48611111111111099</v>
      </c>
      <c r="G23" s="2">
        <v>0.84656167328001897</v>
      </c>
      <c r="H23" s="2">
        <v>0.59357233421324096</v>
      </c>
      <c r="I23" s="2">
        <v>0.43599238145135399</v>
      </c>
    </row>
    <row r="24" spans="2:9" x14ac:dyDescent="0.3">
      <c r="B24" s="3">
        <v>37</v>
      </c>
      <c r="C24" s="2">
        <v>0.49805906825070201</v>
      </c>
      <c r="D24" s="2">
        <v>0.899571450877233</v>
      </c>
      <c r="E24" s="2">
        <v>0.894978992892695</v>
      </c>
      <c r="F24" s="2">
        <v>0.77638888888888802</v>
      </c>
      <c r="G24" s="2">
        <v>1.30968613712514</v>
      </c>
      <c r="H24" s="2">
        <v>0.77739274633813304</v>
      </c>
      <c r="I24" s="2">
        <v>0.64150720776476899</v>
      </c>
    </row>
    <row r="25" spans="2:9" x14ac:dyDescent="0.3">
      <c r="B25" s="3">
        <v>38</v>
      </c>
      <c r="C25" s="2">
        <v>0.19305527212307799</v>
      </c>
      <c r="D25" s="2">
        <v>0.34751511238861799</v>
      </c>
      <c r="E25" s="2">
        <v>0.89917286323873902</v>
      </c>
      <c r="F25" s="2">
        <v>0.39583333333333298</v>
      </c>
      <c r="G25" s="2">
        <v>0.76829537144107396</v>
      </c>
      <c r="H25" s="2">
        <v>0.50718209621544796</v>
      </c>
      <c r="I25" s="2">
        <v>0.48771858220567099</v>
      </c>
    </row>
    <row r="26" spans="2:9" x14ac:dyDescent="0.3">
      <c r="B26" s="3">
        <v>39</v>
      </c>
      <c r="C26" s="2">
        <v>0.24177259167372001</v>
      </c>
      <c r="D26" s="2">
        <v>0.45877171652568799</v>
      </c>
      <c r="E26" s="2">
        <v>0.91809113829591105</v>
      </c>
      <c r="F26" s="2">
        <v>0.26944444444444399</v>
      </c>
      <c r="G26" s="2">
        <v>0.58214163988576595</v>
      </c>
      <c r="H26" s="2">
        <v>0.86811513800690798</v>
      </c>
      <c r="I26" s="2">
        <v>0.89730034023236405</v>
      </c>
    </row>
    <row r="27" spans="2:9" x14ac:dyDescent="0.3">
      <c r="B27" s="3">
        <v>40</v>
      </c>
      <c r="C27" s="2">
        <v>0.23346885988726701</v>
      </c>
      <c r="D27" s="2">
        <v>0.44299170856243503</v>
      </c>
      <c r="E27" s="2">
        <v>0.90584367386104303</v>
      </c>
      <c r="F27" s="2">
        <v>0.218055555555555</v>
      </c>
      <c r="G27" s="2">
        <v>0.48160610922666303</v>
      </c>
      <c r="H27" s="2">
        <v>0.888713551235359</v>
      </c>
      <c r="I27" s="2">
        <v>1.0706852173174</v>
      </c>
    </row>
    <row r="28" spans="2:9" x14ac:dyDescent="0.3">
      <c r="B28" s="3">
        <v>41</v>
      </c>
      <c r="C28" s="2">
        <v>0.22175806179049901</v>
      </c>
      <c r="D28" s="2">
        <v>0.42817805503253598</v>
      </c>
      <c r="E28" s="2">
        <v>0.92649930744169995</v>
      </c>
      <c r="F28" s="2">
        <v>0.23611111111111099</v>
      </c>
      <c r="G28" s="2">
        <v>0.52440442408507504</v>
      </c>
      <c r="H28" s="2">
        <v>0.88975083348091399</v>
      </c>
      <c r="I28" s="2">
        <v>0.93921061464211497</v>
      </c>
    </row>
    <row r="29" spans="2:9" x14ac:dyDescent="0.3">
      <c r="B29" s="3">
        <v>42</v>
      </c>
      <c r="C29" s="2">
        <v>0.229688971996553</v>
      </c>
      <c r="D29" s="2">
        <v>0.43612969198684698</v>
      </c>
      <c r="E29" s="2">
        <v>0.92988560222610295</v>
      </c>
      <c r="F29" s="2">
        <v>0.22500000000000001</v>
      </c>
      <c r="G29" s="2">
        <v>0.52967495273568999</v>
      </c>
      <c r="H29" s="2">
        <v>0.89658232456539499</v>
      </c>
      <c r="I29" s="2">
        <v>1.0208398755402299</v>
      </c>
    </row>
    <row r="30" spans="2:9" x14ac:dyDescent="0.3">
      <c r="B30" s="3">
        <v>43</v>
      </c>
      <c r="C30" s="2">
        <v>0.206308306637912</v>
      </c>
      <c r="D30" s="2">
        <v>0.39268738055975699</v>
      </c>
      <c r="E30" s="2">
        <v>0.93200983241564594</v>
      </c>
      <c r="F30" s="2">
        <v>0.22361111111111101</v>
      </c>
      <c r="G30" s="2">
        <v>0.49018137232842401</v>
      </c>
      <c r="H30" s="2">
        <v>0.89405857057318605</v>
      </c>
      <c r="I30" s="2">
        <v>0.92262099862917502</v>
      </c>
    </row>
    <row r="31" spans="2:9" x14ac:dyDescent="0.3">
      <c r="B31" s="3">
        <v>45</v>
      </c>
      <c r="C31" s="2">
        <v>0.20409750146105099</v>
      </c>
      <c r="D31" s="2">
        <v>0.380277645328914</v>
      </c>
      <c r="E31" s="2">
        <v>0.89809420347460001</v>
      </c>
      <c r="F31" s="2">
        <v>0.38472222222222202</v>
      </c>
      <c r="G31" s="2">
        <v>0.74442371447090905</v>
      </c>
      <c r="H31" s="2">
        <v>0.60948502264682303</v>
      </c>
      <c r="I31" s="2">
        <v>0.53050614098179305</v>
      </c>
    </row>
    <row r="32" spans="2:9" x14ac:dyDescent="0.3">
      <c r="B32" s="3">
        <v>49</v>
      </c>
      <c r="C32" s="2">
        <v>0.27302579841808999</v>
      </c>
      <c r="D32" s="2">
        <v>0.511881031290777</v>
      </c>
      <c r="E32" s="2">
        <v>0.917382924595331</v>
      </c>
      <c r="F32" s="2">
        <v>0.23611111111111099</v>
      </c>
      <c r="G32" s="2">
        <v>0.52174919474995096</v>
      </c>
      <c r="H32" s="2">
        <v>0.91416679692893199</v>
      </c>
      <c r="I32" s="2">
        <v>1.1563445580060201</v>
      </c>
    </row>
    <row r="33" spans="2:9" x14ac:dyDescent="0.3">
      <c r="B33" s="3">
        <v>50</v>
      </c>
      <c r="C33" s="2">
        <v>0.17855394026889601</v>
      </c>
      <c r="D33" s="2">
        <v>0.345077756423602</v>
      </c>
      <c r="E33" s="2">
        <v>0.93765515289091705</v>
      </c>
      <c r="F33" s="2">
        <v>0.34861111111111098</v>
      </c>
      <c r="G33" s="2">
        <v>0.68414585839245901</v>
      </c>
      <c r="H33" s="2">
        <v>0.75494473531122697</v>
      </c>
      <c r="I33" s="2">
        <v>0.51218660156814999</v>
      </c>
    </row>
    <row r="34" spans="2:9" x14ac:dyDescent="0.3">
      <c r="B34" s="3">
        <v>51</v>
      </c>
      <c r="C34" s="2">
        <v>0.25687958159968799</v>
      </c>
      <c r="D34" s="2">
        <v>0.46702436506232198</v>
      </c>
      <c r="E34" s="2">
        <v>0.92398631842757895</v>
      </c>
      <c r="F34" s="2">
        <v>0.24861111111111101</v>
      </c>
      <c r="G34" s="2">
        <v>0.580947501931112</v>
      </c>
      <c r="H34" s="2">
        <v>0.88237856676105397</v>
      </c>
      <c r="I34" s="2">
        <v>1.0332586522445499</v>
      </c>
    </row>
    <row r="35" spans="2:9" x14ac:dyDescent="0.3">
      <c r="B35" s="3">
        <v>52</v>
      </c>
      <c r="C35" s="2">
        <v>0.29530941271532002</v>
      </c>
      <c r="D35" s="2">
        <v>0.54092757207264797</v>
      </c>
      <c r="E35" s="2">
        <v>0.92101045260289505</v>
      </c>
      <c r="F35" s="2">
        <v>0.31805555555555498</v>
      </c>
      <c r="G35" s="2">
        <v>0.64871668186761799</v>
      </c>
      <c r="H35" s="2">
        <v>0.88639393434427505</v>
      </c>
      <c r="I35" s="2">
        <v>0.92848374303506798</v>
      </c>
    </row>
    <row r="36" spans="2:9" x14ac:dyDescent="0.3">
      <c r="B36" s="3">
        <v>53</v>
      </c>
      <c r="C36" s="2">
        <v>0.22680162805850501</v>
      </c>
      <c r="D36" s="2">
        <v>0.42241074868985901</v>
      </c>
      <c r="E36" s="2">
        <v>0.90106472311424801</v>
      </c>
      <c r="F36" s="2">
        <v>0.37916666666666599</v>
      </c>
      <c r="G36" s="2">
        <v>0.72934521623470205</v>
      </c>
      <c r="H36" s="2">
        <v>0.70505059148180604</v>
      </c>
      <c r="I36" s="2">
        <v>0.59815813993452005</v>
      </c>
    </row>
    <row r="37" spans="2:9" x14ac:dyDescent="0.3">
      <c r="B37" s="3">
        <v>54</v>
      </c>
      <c r="C37" s="2">
        <v>0.24683562596224001</v>
      </c>
      <c r="D37" s="2">
        <v>0.47662522963084503</v>
      </c>
      <c r="E37" s="2">
        <v>0.91213713399065</v>
      </c>
      <c r="F37" s="2">
        <v>0.31666666666666599</v>
      </c>
      <c r="G37" s="2">
        <v>0.67905162624877802</v>
      </c>
      <c r="H37" s="2">
        <v>0.82165665922574604</v>
      </c>
      <c r="I37" s="2">
        <v>0.779480924091285</v>
      </c>
    </row>
    <row r="38" spans="2:9" x14ac:dyDescent="0.3">
      <c r="B38" s="3">
        <v>55</v>
      </c>
      <c r="C38" s="2">
        <v>0.21353844132211999</v>
      </c>
      <c r="D38" s="2">
        <v>0.453179519006286</v>
      </c>
      <c r="E38" s="2">
        <v>0.927444548514467</v>
      </c>
      <c r="F38" s="2">
        <v>0.26388888888888801</v>
      </c>
      <c r="G38" s="2">
        <v>0.59160797830996104</v>
      </c>
      <c r="H38" s="2">
        <v>0.87634902504913603</v>
      </c>
      <c r="I38" s="2">
        <v>0.80919830395750703</v>
      </c>
    </row>
    <row r="39" spans="2:9" x14ac:dyDescent="0.3">
      <c r="B39" s="3">
        <v>56</v>
      </c>
      <c r="C39" s="2">
        <v>0.17277283333272</v>
      </c>
      <c r="D39" s="2">
        <v>0.34620640990690399</v>
      </c>
      <c r="E39" s="2">
        <v>0.93420532893150499</v>
      </c>
      <c r="F39" s="2">
        <v>0.29861111111111099</v>
      </c>
      <c r="G39" s="2">
        <v>0.58570944636018596</v>
      </c>
      <c r="H39" s="2">
        <v>0.81168497683653196</v>
      </c>
      <c r="I39" s="2">
        <v>0.57858809302120295</v>
      </c>
    </row>
    <row r="40" spans="2:9" x14ac:dyDescent="0.3">
      <c r="B40" s="3">
        <v>58</v>
      </c>
      <c r="C40" s="2">
        <v>0.245768853370638</v>
      </c>
      <c r="D40" s="2">
        <v>0.46356558290327998</v>
      </c>
      <c r="E40" s="2">
        <v>0.85470484370436295</v>
      </c>
      <c r="F40" s="2">
        <v>0.148611111111111</v>
      </c>
      <c r="G40" s="2">
        <v>0.40311288741492701</v>
      </c>
      <c r="H40" s="2">
        <v>0.89012923900412</v>
      </c>
      <c r="I40" s="2">
        <v>1.6537717236155101</v>
      </c>
    </row>
    <row r="41" spans="2:9" x14ac:dyDescent="0.3">
      <c r="B41" s="3">
        <v>60</v>
      </c>
      <c r="C41" s="2">
        <v>0.21068599174002201</v>
      </c>
      <c r="D41" s="2">
        <v>0.45126294069954498</v>
      </c>
      <c r="E41" s="2">
        <v>0.92646882246072904</v>
      </c>
      <c r="F41" s="2">
        <v>0.35555555555555501</v>
      </c>
      <c r="G41" s="2">
        <v>0.67288764127287803</v>
      </c>
      <c r="H41" s="2">
        <v>0.83650770653857698</v>
      </c>
      <c r="I41" s="2">
        <v>0.59255435176881299</v>
      </c>
    </row>
    <row r="42" spans="2:9" x14ac:dyDescent="0.3">
      <c r="B42" s="3">
        <v>61</v>
      </c>
      <c r="C42" s="2">
        <v>0.21838298505374501</v>
      </c>
      <c r="D42" s="2">
        <v>0.41121458138820499</v>
      </c>
      <c r="E42" s="2">
        <v>0.94835840569827101</v>
      </c>
      <c r="F42" s="2">
        <v>0.20694444444444399</v>
      </c>
      <c r="G42" s="2">
        <v>0.45795438880113598</v>
      </c>
      <c r="H42" s="2">
        <v>0.93595177767396298</v>
      </c>
      <c r="I42" s="2">
        <v>1.05527348482346</v>
      </c>
    </row>
    <row r="43" spans="2:9" x14ac:dyDescent="0.3">
      <c r="B43" s="3">
        <v>62</v>
      </c>
      <c r="C43" s="2">
        <v>0.23543966135054401</v>
      </c>
      <c r="D43" s="2">
        <v>0.442276550571227</v>
      </c>
      <c r="E43" s="2">
        <v>0.92454537475943199</v>
      </c>
      <c r="F43" s="2">
        <v>0.26388888888888801</v>
      </c>
      <c r="G43" s="2">
        <v>0.58214163988576595</v>
      </c>
      <c r="H43" s="2">
        <v>0.869275987796711</v>
      </c>
      <c r="I43" s="2">
        <v>0.89219240090732799</v>
      </c>
    </row>
    <row r="44" spans="2:9" x14ac:dyDescent="0.3">
      <c r="B44" s="3">
        <v>63</v>
      </c>
      <c r="C44" s="2">
        <v>0.22747656837174399</v>
      </c>
      <c r="D44" s="2">
        <v>0.45477596993316599</v>
      </c>
      <c r="E44" s="2">
        <v>0.93729168778852801</v>
      </c>
      <c r="F44" s="2">
        <v>0.243055555555555</v>
      </c>
      <c r="G44" s="2">
        <v>0.53359368645273697</v>
      </c>
      <c r="H44" s="2">
        <v>0.91367204383775702</v>
      </c>
      <c r="I44" s="2">
        <v>0.93590359558660496</v>
      </c>
    </row>
    <row r="45" spans="2:9" x14ac:dyDescent="0.3">
      <c r="B45" s="3">
        <v>64</v>
      </c>
      <c r="C45" s="2">
        <v>0.21339725035957</v>
      </c>
      <c r="D45" s="2">
        <v>0.41678577787544602</v>
      </c>
      <c r="E45" s="2">
        <v>0.92903857827537595</v>
      </c>
      <c r="F45" s="2">
        <v>0.28472222222222199</v>
      </c>
      <c r="G45" s="2">
        <v>0.57373048260195003</v>
      </c>
      <c r="H45" s="2">
        <v>0.86553403413657704</v>
      </c>
      <c r="I45" s="2">
        <v>0.74949278175068701</v>
      </c>
    </row>
    <row r="46" spans="2:9" x14ac:dyDescent="0.3">
      <c r="B46" s="3">
        <v>65</v>
      </c>
      <c r="C46" s="2">
        <v>0.28736759773340398</v>
      </c>
      <c r="D46" s="2">
        <v>0.54654467466394097</v>
      </c>
      <c r="E46" s="2">
        <v>0.89285323619574897</v>
      </c>
      <c r="F46" s="2">
        <v>0.25972222222222202</v>
      </c>
      <c r="G46" s="2">
        <v>0.59511903571190405</v>
      </c>
      <c r="H46" s="2">
        <v>0.87296148504979398</v>
      </c>
      <c r="I46" s="2">
        <v>1.1064420875296801</v>
      </c>
    </row>
    <row r="47" spans="2:9" x14ac:dyDescent="0.3">
      <c r="B47" s="3">
        <v>66</v>
      </c>
      <c r="C47" s="2">
        <v>0.21681200111263199</v>
      </c>
      <c r="D47" s="2">
        <v>0.40730018229133402</v>
      </c>
      <c r="E47" s="2">
        <v>0.86074454062157602</v>
      </c>
      <c r="F47" s="2">
        <v>0.469444444444444</v>
      </c>
      <c r="G47" s="2">
        <v>0.83499833665835599</v>
      </c>
      <c r="H47" s="2">
        <v>0.41473272405774902</v>
      </c>
      <c r="I47" s="2">
        <v>0.46184804970738202</v>
      </c>
    </row>
    <row r="48" spans="2:9" x14ac:dyDescent="0.3">
      <c r="B48" s="3">
        <v>67</v>
      </c>
      <c r="C48" s="2">
        <v>0.20252523831045499</v>
      </c>
      <c r="D48" s="2">
        <v>0.37395071108348699</v>
      </c>
      <c r="E48" s="2">
        <v>0.90437328137119199</v>
      </c>
      <c r="F48" s="2">
        <v>0.329166666666666</v>
      </c>
      <c r="G48" s="2">
        <v>0.66143782776614701</v>
      </c>
      <c r="H48" s="2">
        <v>0.70082273747195201</v>
      </c>
      <c r="I48" s="2">
        <v>0.61526654676594095</v>
      </c>
    </row>
    <row r="49" spans="2:9" x14ac:dyDescent="0.3">
      <c r="B49" s="3">
        <v>68</v>
      </c>
      <c r="C49" s="2">
        <v>0.646860032868802</v>
      </c>
      <c r="D49" s="2">
        <v>1.1901117550461</v>
      </c>
      <c r="E49" s="2">
        <v>0.92493852638952001</v>
      </c>
      <c r="F49" s="2">
        <v>2.0694444444444402</v>
      </c>
      <c r="G49" s="2">
        <v>3.4896672875473</v>
      </c>
      <c r="H49" s="2">
        <v>0.354628710320608</v>
      </c>
      <c r="I49" s="2">
        <v>0.31257666017821301</v>
      </c>
    </row>
    <row r="50" spans="2:9" x14ac:dyDescent="0.3">
      <c r="B50" s="3">
        <v>69</v>
      </c>
      <c r="C50" s="2">
        <v>0.182649225457828</v>
      </c>
      <c r="D50" s="2">
        <v>0.37236917156862198</v>
      </c>
      <c r="E50" s="2">
        <v>0.93008738805277602</v>
      </c>
      <c r="F50" s="2">
        <v>0.28749999999999998</v>
      </c>
      <c r="G50" s="2">
        <v>0.61801654059130495</v>
      </c>
      <c r="H50" s="2">
        <v>0.80742128344960995</v>
      </c>
      <c r="I50" s="2">
        <v>0.63530165376635805</v>
      </c>
    </row>
    <row r="51" spans="2:9" x14ac:dyDescent="0.3">
      <c r="B51" s="3">
        <v>71</v>
      </c>
      <c r="C51" s="2">
        <v>0.25917303841627698</v>
      </c>
      <c r="D51" s="2">
        <v>0.49694086968871798</v>
      </c>
      <c r="E51" s="2">
        <v>0.87371252933224297</v>
      </c>
      <c r="F51" s="2">
        <v>0.31944444444444398</v>
      </c>
      <c r="G51" s="2">
        <v>0.63464775882199198</v>
      </c>
      <c r="H51" s="2">
        <v>0.79402413508386505</v>
      </c>
      <c r="I51" s="2">
        <v>0.81132429417269303</v>
      </c>
    </row>
    <row r="52" spans="2:9" x14ac:dyDescent="0.3">
      <c r="B52" s="3">
        <v>72</v>
      </c>
      <c r="C52" s="2">
        <v>0.21355681527866799</v>
      </c>
      <c r="D52" s="2">
        <v>0.40449949596597701</v>
      </c>
      <c r="E52" s="2">
        <v>0.92882936167874997</v>
      </c>
      <c r="F52" s="2">
        <v>0.28888888888888797</v>
      </c>
      <c r="G52" s="2">
        <v>0.59860949986893197</v>
      </c>
      <c r="H52" s="2">
        <v>0.84413374492675297</v>
      </c>
      <c r="I52" s="2">
        <v>0.73923512981077399</v>
      </c>
    </row>
    <row r="53" spans="2:9" x14ac:dyDescent="0.3">
      <c r="B53" s="3">
        <v>73</v>
      </c>
      <c r="C53" s="2">
        <v>0.18553202412030001</v>
      </c>
      <c r="D53" s="2">
        <v>0.34262151989655099</v>
      </c>
      <c r="E53" s="2">
        <v>0.84870891750961597</v>
      </c>
      <c r="F53" s="2">
        <v>0.3</v>
      </c>
      <c r="G53" s="2">
        <v>0.60323203569512795</v>
      </c>
      <c r="H53" s="2">
        <v>0.53102158931572496</v>
      </c>
      <c r="I53" s="2">
        <v>0.61844008040100196</v>
      </c>
    </row>
    <row r="54" spans="2:9" x14ac:dyDescent="0.3">
      <c r="B54" s="3">
        <v>74</v>
      </c>
      <c r="C54" s="2">
        <v>0.15748257831610599</v>
      </c>
      <c r="D54" s="2">
        <v>0.33589575336551197</v>
      </c>
      <c r="E54" s="2">
        <v>0.84551206903434495</v>
      </c>
      <c r="F54" s="2">
        <v>0.15416666666666601</v>
      </c>
      <c r="G54" s="2">
        <v>0.40311288741492701</v>
      </c>
      <c r="H54" s="2">
        <v>0.77749545033135303</v>
      </c>
      <c r="I54" s="2">
        <v>1.02150861610447</v>
      </c>
    </row>
    <row r="55" spans="2:9" x14ac:dyDescent="0.3">
      <c r="B55" s="3">
        <v>75</v>
      </c>
      <c r="C55" s="2">
        <v>0.23232056213230901</v>
      </c>
      <c r="D55" s="2">
        <v>0.44984625073805701</v>
      </c>
      <c r="E55" s="2">
        <v>0.91852721305412499</v>
      </c>
      <c r="F55" s="2">
        <v>0.25694444444444398</v>
      </c>
      <c r="G55" s="2">
        <v>0.55901699437494701</v>
      </c>
      <c r="H55" s="2">
        <v>0.87418443164370196</v>
      </c>
      <c r="I55" s="2">
        <v>0.90416651208250198</v>
      </c>
    </row>
  </sheetData>
  <mergeCells count="4">
    <mergeCell ref="C2:E2"/>
    <mergeCell ref="F2:H2"/>
    <mergeCell ref="L3:N3"/>
    <mergeCell ref="K1:N1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2023-05-04T01:14:41Z</dcterms:created>
  <dcterms:modified xsi:type="dcterms:W3CDTF">2023-05-04T06:59:57Z</dcterms:modified>
</cp:coreProperties>
</file>