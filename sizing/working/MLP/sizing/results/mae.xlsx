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sizing_directly\results\"/>
    </mc:Choice>
  </mc:AlternateContent>
  <xr:revisionPtr revIDLastSave="0" documentId="13_ncr:40009_{EC73DCD3-9DDD-47A1-99F4-780A9B56476E}" xr6:coauthVersionLast="47" xr6:coauthVersionMax="47" xr10:uidLastSave="{00000000-0000-0000-0000-000000000000}"/>
  <bookViews>
    <workbookView xWindow="-108" yWindow="-108" windowWidth="23256" windowHeight="13176"/>
  </bookViews>
  <sheets>
    <sheet name="mae" sheetId="1" r:id="rId1"/>
  </sheets>
  <calcPr calcId="0"/>
</workbook>
</file>

<file path=xl/calcChain.xml><?xml version="1.0" encoding="utf-8"?>
<calcChain xmlns="http://schemas.openxmlformats.org/spreadsheetml/2006/main">
  <c r="N7" i="1" l="1"/>
  <c r="O7" i="1"/>
  <c r="P7" i="1"/>
  <c r="M7" i="1"/>
  <c r="N6" i="1"/>
  <c r="O6" i="1"/>
  <c r="P6" i="1"/>
  <c r="M6" i="1"/>
  <c r="N5" i="1"/>
  <c r="O5" i="1"/>
  <c r="P5" i="1"/>
  <c r="M5" i="1"/>
  <c r="N4" i="1"/>
  <c r="O4" i="1"/>
  <c r="P4" i="1"/>
  <c r="M4" i="1"/>
</calcChain>
</file>

<file path=xl/sharedStrings.xml><?xml version="1.0" encoding="utf-8"?>
<sst xmlns="http://schemas.openxmlformats.org/spreadsheetml/2006/main" count="20" uniqueCount="15">
  <si>
    <t>Store ID</t>
  </si>
  <si>
    <t>MAE</t>
  </si>
  <si>
    <t>RAW</t>
  </si>
  <si>
    <t>ROUND</t>
  </si>
  <si>
    <t>FLOOR</t>
  </si>
  <si>
    <t>CEIL</t>
  </si>
  <si>
    <t>Number Hours</t>
  </si>
  <si>
    <t>Train</t>
  </si>
  <si>
    <t>Test</t>
  </si>
  <si>
    <t>Agg</t>
  </si>
  <si>
    <t>Data</t>
  </si>
  <si>
    <t>Min</t>
  </si>
  <si>
    <t>Max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</si>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</sst>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164" fontId="0" fillId="0" borderId="10" xfId="0" applyNumberFormat="1" applyBorder="1"/>
    <xf numFmtId="0" fontId="16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Team Size Forecast Rounding 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mae!$G$3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mae!$B$4:$B$55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mae!$G$4:$G$55</c:f>
              <c:numCache>
                <c:formatCode>0.000</c:formatCode>
                <c:ptCount val="52"/>
                <c:pt idx="0">
                  <c:v>0.20104988921775699</c:v>
                </c:pt>
                <c:pt idx="1">
                  <c:v>0.20053879132949201</c:v>
                </c:pt>
                <c:pt idx="2">
                  <c:v>0.23436379326895601</c:v>
                </c:pt>
                <c:pt idx="3">
                  <c:v>0.167660294280703</c:v>
                </c:pt>
                <c:pt idx="4">
                  <c:v>0.19714352250004699</c:v>
                </c:pt>
                <c:pt idx="5">
                  <c:v>0.22339085560986899</c:v>
                </c:pt>
                <c:pt idx="6">
                  <c:v>0.14144632372160201</c:v>
                </c:pt>
                <c:pt idx="7">
                  <c:v>0.27617789287305999</c:v>
                </c:pt>
                <c:pt idx="8">
                  <c:v>0.26964443980071501</c:v>
                </c:pt>
                <c:pt idx="9">
                  <c:v>0.242743646829887</c:v>
                </c:pt>
                <c:pt idx="10">
                  <c:v>0.17548243267840599</c:v>
                </c:pt>
                <c:pt idx="11">
                  <c:v>0.19198771531244599</c:v>
                </c:pt>
                <c:pt idx="12">
                  <c:v>0.185194295839026</c:v>
                </c:pt>
                <c:pt idx="13">
                  <c:v>0.25991607964449198</c:v>
                </c:pt>
                <c:pt idx="14">
                  <c:v>0.164054324032819</c:v>
                </c:pt>
                <c:pt idx="15">
                  <c:v>0.22849508904768001</c:v>
                </c:pt>
                <c:pt idx="16">
                  <c:v>0.18441245407659501</c:v>
                </c:pt>
                <c:pt idx="17">
                  <c:v>0.26152002494453103</c:v>
                </c:pt>
                <c:pt idx="18">
                  <c:v>0.24469976171028501</c:v>
                </c:pt>
                <c:pt idx="19">
                  <c:v>0.21194074098329699</c:v>
                </c:pt>
                <c:pt idx="20">
                  <c:v>0.49805906825070201</c:v>
                </c:pt>
                <c:pt idx="21">
                  <c:v>0.19305527212307799</c:v>
                </c:pt>
                <c:pt idx="22">
                  <c:v>0.24177259167372001</c:v>
                </c:pt>
                <c:pt idx="23">
                  <c:v>0.23346885988726701</c:v>
                </c:pt>
                <c:pt idx="24">
                  <c:v>0.22175806179049901</c:v>
                </c:pt>
                <c:pt idx="25">
                  <c:v>0.229688971996553</c:v>
                </c:pt>
                <c:pt idx="26">
                  <c:v>0.206308306637912</c:v>
                </c:pt>
                <c:pt idx="27">
                  <c:v>0.20409750146105099</c:v>
                </c:pt>
                <c:pt idx="28">
                  <c:v>0.27302579841808999</c:v>
                </c:pt>
                <c:pt idx="29">
                  <c:v>0.17855394026889601</c:v>
                </c:pt>
                <c:pt idx="30">
                  <c:v>0.25687958159968799</c:v>
                </c:pt>
                <c:pt idx="31">
                  <c:v>0.29530941271532002</c:v>
                </c:pt>
                <c:pt idx="32">
                  <c:v>0.22680162805850501</c:v>
                </c:pt>
                <c:pt idx="33">
                  <c:v>0.24683562596224001</c:v>
                </c:pt>
                <c:pt idx="34">
                  <c:v>0.21353844132211999</c:v>
                </c:pt>
                <c:pt idx="35">
                  <c:v>0.17277283333272</c:v>
                </c:pt>
                <c:pt idx="36">
                  <c:v>0.245768853370638</c:v>
                </c:pt>
                <c:pt idx="37">
                  <c:v>0.21068599174002201</c:v>
                </c:pt>
                <c:pt idx="38">
                  <c:v>0.21838298505374501</c:v>
                </c:pt>
                <c:pt idx="39">
                  <c:v>0.23543966135054401</c:v>
                </c:pt>
                <c:pt idx="40">
                  <c:v>0.22747656837174399</c:v>
                </c:pt>
                <c:pt idx="41">
                  <c:v>0.21339725035957</c:v>
                </c:pt>
                <c:pt idx="42">
                  <c:v>0.28736759773340398</c:v>
                </c:pt>
                <c:pt idx="43">
                  <c:v>0.21681200111263199</c:v>
                </c:pt>
                <c:pt idx="44">
                  <c:v>0.20252523831045499</c:v>
                </c:pt>
                <c:pt idx="45">
                  <c:v>0.646860032868802</c:v>
                </c:pt>
                <c:pt idx="46">
                  <c:v>0.182649225457828</c:v>
                </c:pt>
                <c:pt idx="47">
                  <c:v>0.25917303841627698</c:v>
                </c:pt>
                <c:pt idx="48">
                  <c:v>0.21355681527866799</c:v>
                </c:pt>
                <c:pt idx="49">
                  <c:v>0.18553202412030001</c:v>
                </c:pt>
                <c:pt idx="50">
                  <c:v>0.15748257831610599</c:v>
                </c:pt>
                <c:pt idx="51">
                  <c:v>0.23232056213230901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6-459D-AD60-C46F4B0FB539}"/>
            </c:ext>
          </c:extLst>
        </c:ser>
        <c:ser>
          <c:idx val="1"/>
          <c:order val="1"/>
          <c:tx>
            <c:strRef>
              <c:f>mae!$H$3</c:f>
              <c:strCache>
                <c:ptCount val="1"/>
                <c:pt idx="0">
                  <c:v>ROUND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mae!$B$4:$B$55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mae!$H$4:$H$55</c:f>
              <c:numCache>
                <c:formatCode>0.000</c:formatCode>
                <c:ptCount val="52"/>
                <c:pt idx="0">
                  <c:v>0.16805555555555499</c:v>
                </c:pt>
                <c:pt idx="1">
                  <c:v>0.16944444444444401</c:v>
                </c:pt>
                <c:pt idx="2">
                  <c:v>0.19722222222222199</c:v>
                </c:pt>
                <c:pt idx="3">
                  <c:v>0.12361111111111101</c:v>
                </c:pt>
                <c:pt idx="4">
                  <c:v>0.133333333333333</c:v>
                </c:pt>
                <c:pt idx="5">
                  <c:v>0.195833333333333</c:v>
                </c:pt>
                <c:pt idx="6">
                  <c:v>0.105555555555555</c:v>
                </c:pt>
                <c:pt idx="7">
                  <c:v>0.24444444444444399</c:v>
                </c:pt>
                <c:pt idx="8">
                  <c:v>0.23194444444444401</c:v>
                </c:pt>
                <c:pt idx="9">
                  <c:v>0.20555555555555499</c:v>
                </c:pt>
                <c:pt idx="10">
                  <c:v>0.13888888888888801</c:v>
                </c:pt>
                <c:pt idx="11">
                  <c:v>0.15972222222222199</c:v>
                </c:pt>
                <c:pt idx="12">
                  <c:v>0.16250000000000001</c:v>
                </c:pt>
                <c:pt idx="13">
                  <c:v>0.243055555555555</c:v>
                </c:pt>
                <c:pt idx="14">
                  <c:v>0.12361111111111101</c:v>
                </c:pt>
                <c:pt idx="15">
                  <c:v>0.2</c:v>
                </c:pt>
                <c:pt idx="16">
                  <c:v>0.15416666666666601</c:v>
                </c:pt>
                <c:pt idx="17">
                  <c:v>0.241666666666666</c:v>
                </c:pt>
                <c:pt idx="18">
                  <c:v>0.22500000000000001</c:v>
                </c:pt>
                <c:pt idx="19">
                  <c:v>0.18611111111111101</c:v>
                </c:pt>
                <c:pt idx="20">
                  <c:v>0.47083333333333299</c:v>
                </c:pt>
                <c:pt idx="21">
                  <c:v>0.13750000000000001</c:v>
                </c:pt>
                <c:pt idx="22">
                  <c:v>0.204166666666666</c:v>
                </c:pt>
                <c:pt idx="23">
                  <c:v>0.18472222222222201</c:v>
                </c:pt>
                <c:pt idx="24">
                  <c:v>0.211111111111111</c:v>
                </c:pt>
                <c:pt idx="25">
                  <c:v>0.21527777777777701</c:v>
                </c:pt>
                <c:pt idx="26">
                  <c:v>0.18194444444444399</c:v>
                </c:pt>
                <c:pt idx="27">
                  <c:v>0.170833333333333</c:v>
                </c:pt>
                <c:pt idx="28">
                  <c:v>0.25277777777777699</c:v>
                </c:pt>
                <c:pt idx="29">
                  <c:v>0.131944444444444</c:v>
                </c:pt>
                <c:pt idx="30">
                  <c:v>0.25416666666666599</c:v>
                </c:pt>
                <c:pt idx="31">
                  <c:v>0.27361111111111103</c:v>
                </c:pt>
                <c:pt idx="32">
                  <c:v>0.19722222222222199</c:v>
                </c:pt>
                <c:pt idx="33">
                  <c:v>0.234722222222222</c:v>
                </c:pt>
                <c:pt idx="34">
                  <c:v>0.16250000000000001</c:v>
                </c:pt>
                <c:pt idx="35">
                  <c:v>0.126388888888888</c:v>
                </c:pt>
                <c:pt idx="36">
                  <c:v>0.227777777777777</c:v>
                </c:pt>
                <c:pt idx="37">
                  <c:v>0.16805555555555499</c:v>
                </c:pt>
                <c:pt idx="38">
                  <c:v>0.19027777777777699</c:v>
                </c:pt>
                <c:pt idx="39">
                  <c:v>0.21249999999999999</c:v>
                </c:pt>
                <c:pt idx="40">
                  <c:v>0.20138888888888801</c:v>
                </c:pt>
                <c:pt idx="41">
                  <c:v>0.179166666666666</c:v>
                </c:pt>
                <c:pt idx="42">
                  <c:v>0.27777777777777701</c:v>
                </c:pt>
                <c:pt idx="43">
                  <c:v>0.19722222222222199</c:v>
                </c:pt>
                <c:pt idx="44">
                  <c:v>0.17638888888888801</c:v>
                </c:pt>
                <c:pt idx="45">
                  <c:v>0.63472222222222197</c:v>
                </c:pt>
                <c:pt idx="46">
                  <c:v>0.13750000000000001</c:v>
                </c:pt>
                <c:pt idx="47">
                  <c:v>0.22500000000000001</c:v>
                </c:pt>
                <c:pt idx="48">
                  <c:v>0.18611111111111101</c:v>
                </c:pt>
                <c:pt idx="49">
                  <c:v>0.165277777777777</c:v>
                </c:pt>
                <c:pt idx="50">
                  <c:v>0.131944444444444</c:v>
                </c:pt>
                <c:pt idx="51">
                  <c:v>0.21388888888888799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6-459D-AD60-C46F4B0FB539}"/>
            </c:ext>
          </c:extLst>
        </c:ser>
        <c:ser>
          <c:idx val="2"/>
          <c:order val="2"/>
          <c:tx>
            <c:strRef>
              <c:f>mae!$I$3</c:f>
              <c:strCache>
                <c:ptCount val="1"/>
                <c:pt idx="0">
                  <c:v>FLOOR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mae!$B$4:$B$55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mae!$I$4:$I$55</c:f>
              <c:numCache>
                <c:formatCode>0.000</c:formatCode>
                <c:ptCount val="52"/>
                <c:pt idx="0">
                  <c:v>0.25</c:v>
                </c:pt>
                <c:pt idx="1">
                  <c:v>0.34722222222222199</c:v>
                </c:pt>
                <c:pt idx="2">
                  <c:v>0.3125</c:v>
                </c:pt>
                <c:pt idx="3">
                  <c:v>0.30138888888888798</c:v>
                </c:pt>
                <c:pt idx="4">
                  <c:v>0.25277777777777699</c:v>
                </c:pt>
                <c:pt idx="5">
                  <c:v>0.32222222222222202</c:v>
                </c:pt>
                <c:pt idx="6">
                  <c:v>0.24444444444444399</c:v>
                </c:pt>
                <c:pt idx="7">
                  <c:v>0.41249999999999998</c:v>
                </c:pt>
                <c:pt idx="8">
                  <c:v>0.406944444444444</c:v>
                </c:pt>
                <c:pt idx="9">
                  <c:v>0.42916666666666597</c:v>
                </c:pt>
                <c:pt idx="10">
                  <c:v>0.31527777777777699</c:v>
                </c:pt>
                <c:pt idx="11">
                  <c:v>0.36111111111111099</c:v>
                </c:pt>
                <c:pt idx="12">
                  <c:v>0.26944444444444399</c:v>
                </c:pt>
                <c:pt idx="13">
                  <c:v>0.39444444444444399</c:v>
                </c:pt>
                <c:pt idx="14">
                  <c:v>0.165277777777777</c:v>
                </c:pt>
                <c:pt idx="15">
                  <c:v>0.35277777777777702</c:v>
                </c:pt>
                <c:pt idx="16">
                  <c:v>0.343055555555555</c:v>
                </c:pt>
                <c:pt idx="17">
                  <c:v>0.36805555555555503</c:v>
                </c:pt>
                <c:pt idx="18">
                  <c:v>0.39583333333333298</c:v>
                </c:pt>
                <c:pt idx="19">
                  <c:v>0.29166666666666602</c:v>
                </c:pt>
                <c:pt idx="20">
                  <c:v>0.66527777777777697</c:v>
                </c:pt>
                <c:pt idx="21">
                  <c:v>0.327777777777777</c:v>
                </c:pt>
                <c:pt idx="22">
                  <c:v>0.36944444444444402</c:v>
                </c:pt>
                <c:pt idx="23">
                  <c:v>0.43055555555555503</c:v>
                </c:pt>
                <c:pt idx="24">
                  <c:v>0.35416666666666602</c:v>
                </c:pt>
                <c:pt idx="25">
                  <c:v>0.32222222222222202</c:v>
                </c:pt>
                <c:pt idx="26">
                  <c:v>0.280555555555555</c:v>
                </c:pt>
                <c:pt idx="27">
                  <c:v>0.31805555555555498</c:v>
                </c:pt>
                <c:pt idx="28">
                  <c:v>0.35138888888888797</c:v>
                </c:pt>
                <c:pt idx="29">
                  <c:v>0.227777777777777</c:v>
                </c:pt>
                <c:pt idx="30">
                  <c:v>0.36805555555555503</c:v>
                </c:pt>
                <c:pt idx="31">
                  <c:v>0.266666666666666</c:v>
                </c:pt>
                <c:pt idx="32">
                  <c:v>0.29444444444444401</c:v>
                </c:pt>
                <c:pt idx="33">
                  <c:v>0.36388888888888798</c:v>
                </c:pt>
                <c:pt idx="34">
                  <c:v>0.31111111111111101</c:v>
                </c:pt>
                <c:pt idx="35">
                  <c:v>0.29027777777777702</c:v>
                </c:pt>
                <c:pt idx="36">
                  <c:v>0.44166666666666599</c:v>
                </c:pt>
                <c:pt idx="37">
                  <c:v>0.32638888888888801</c:v>
                </c:pt>
                <c:pt idx="38">
                  <c:v>0.33888888888888802</c:v>
                </c:pt>
                <c:pt idx="39">
                  <c:v>0.30416666666666597</c:v>
                </c:pt>
                <c:pt idx="40">
                  <c:v>0.40138888888888802</c:v>
                </c:pt>
                <c:pt idx="41">
                  <c:v>0.359722222222222</c:v>
                </c:pt>
                <c:pt idx="42">
                  <c:v>0.35</c:v>
                </c:pt>
                <c:pt idx="43">
                  <c:v>0.313888888888888</c:v>
                </c:pt>
                <c:pt idx="44">
                  <c:v>0.21388888888888799</c:v>
                </c:pt>
                <c:pt idx="45">
                  <c:v>0.71111111111111103</c:v>
                </c:pt>
                <c:pt idx="46">
                  <c:v>0.281944444444444</c:v>
                </c:pt>
                <c:pt idx="47">
                  <c:v>0.41388888888888797</c:v>
                </c:pt>
                <c:pt idx="48">
                  <c:v>0.29166666666666602</c:v>
                </c:pt>
                <c:pt idx="49">
                  <c:v>0.22222222222222199</c:v>
                </c:pt>
                <c:pt idx="50">
                  <c:v>0.27083333333333298</c:v>
                </c:pt>
                <c:pt idx="51">
                  <c:v>0.34027777777777701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6-459D-AD60-C46F4B0FB539}"/>
            </c:ext>
          </c:extLst>
        </c:ser>
        <c:ser>
          <c:idx val="3"/>
          <c:order val="3"/>
          <c:tx>
            <c:strRef>
              <c:f>mae!$J$3</c:f>
              <c:strCache>
                <c:ptCount val="1"/>
                <c:pt idx="0">
                  <c:v>CEIL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mae!$B$4:$B$55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mae!$J$4:$J$55</c:f>
              <c:numCache>
                <c:formatCode>0.000</c:formatCode>
                <c:ptCount val="52"/>
                <c:pt idx="0">
                  <c:v>0.29305555555555501</c:v>
                </c:pt>
                <c:pt idx="1">
                  <c:v>0.211111111111111</c:v>
                </c:pt>
                <c:pt idx="2">
                  <c:v>0.27361111111111103</c:v>
                </c:pt>
                <c:pt idx="3">
                  <c:v>0.19861111111111099</c:v>
                </c:pt>
                <c:pt idx="4">
                  <c:v>0.297222222222222</c:v>
                </c:pt>
                <c:pt idx="5">
                  <c:v>0.19722222222222199</c:v>
                </c:pt>
                <c:pt idx="6">
                  <c:v>0.22222222222222199</c:v>
                </c:pt>
                <c:pt idx="7">
                  <c:v>0.251388888888888</c:v>
                </c:pt>
                <c:pt idx="8">
                  <c:v>0.27916666666666601</c:v>
                </c:pt>
                <c:pt idx="9">
                  <c:v>0.19861111111111099</c:v>
                </c:pt>
                <c:pt idx="10">
                  <c:v>0.204166666666666</c:v>
                </c:pt>
                <c:pt idx="11">
                  <c:v>0.16944444444444401</c:v>
                </c:pt>
                <c:pt idx="12">
                  <c:v>0.211111111111111</c:v>
                </c:pt>
                <c:pt idx="13">
                  <c:v>0.19166666666666601</c:v>
                </c:pt>
                <c:pt idx="14">
                  <c:v>0.31805555555555498</c:v>
                </c:pt>
                <c:pt idx="15">
                  <c:v>0.180555555555555</c:v>
                </c:pt>
                <c:pt idx="16">
                  <c:v>0.101388888888888</c:v>
                </c:pt>
                <c:pt idx="17">
                  <c:v>0.26250000000000001</c:v>
                </c:pt>
                <c:pt idx="18">
                  <c:v>0.18194444444444399</c:v>
                </c:pt>
                <c:pt idx="19">
                  <c:v>0.227777777777777</c:v>
                </c:pt>
                <c:pt idx="20">
                  <c:v>0.38472222222222202</c:v>
                </c:pt>
                <c:pt idx="21">
                  <c:v>0.147222222222222</c:v>
                </c:pt>
                <c:pt idx="22">
                  <c:v>0.23055555555555499</c:v>
                </c:pt>
                <c:pt idx="23">
                  <c:v>0.2</c:v>
                </c:pt>
                <c:pt idx="24">
                  <c:v>0.17638888888888801</c:v>
                </c:pt>
                <c:pt idx="25">
                  <c:v>0.18194444444444399</c:v>
                </c:pt>
                <c:pt idx="26">
                  <c:v>0.219444444444444</c:v>
                </c:pt>
                <c:pt idx="27">
                  <c:v>0.19027777777777699</c:v>
                </c:pt>
                <c:pt idx="28">
                  <c:v>0.251388888888888</c:v>
                </c:pt>
                <c:pt idx="29">
                  <c:v>0.26944444444444399</c:v>
                </c:pt>
                <c:pt idx="30">
                  <c:v>0.19027777777777699</c:v>
                </c:pt>
                <c:pt idx="31">
                  <c:v>0.38333333333333303</c:v>
                </c:pt>
                <c:pt idx="32">
                  <c:v>0.24444444444444399</c:v>
                </c:pt>
                <c:pt idx="33">
                  <c:v>0.18194444444444399</c:v>
                </c:pt>
                <c:pt idx="34">
                  <c:v>0.29166666666666602</c:v>
                </c:pt>
                <c:pt idx="35">
                  <c:v>0.24027777777777701</c:v>
                </c:pt>
                <c:pt idx="36">
                  <c:v>0.12777777777777699</c:v>
                </c:pt>
                <c:pt idx="37">
                  <c:v>0.27361111111111103</c:v>
                </c:pt>
                <c:pt idx="38">
                  <c:v>0.180555555555555</c:v>
                </c:pt>
                <c:pt idx="39">
                  <c:v>0.27083333333333298</c:v>
                </c:pt>
                <c:pt idx="40">
                  <c:v>0.170833333333333</c:v>
                </c:pt>
                <c:pt idx="41">
                  <c:v>0.179166666666666</c:v>
                </c:pt>
                <c:pt idx="42">
                  <c:v>0.31111111111111101</c:v>
                </c:pt>
                <c:pt idx="43">
                  <c:v>0.202777777777777</c:v>
                </c:pt>
                <c:pt idx="44">
                  <c:v>0.26111111111111102</c:v>
                </c:pt>
                <c:pt idx="45">
                  <c:v>0.59861111111111098</c:v>
                </c:pt>
                <c:pt idx="46">
                  <c:v>0.22916666666666599</c:v>
                </c:pt>
                <c:pt idx="47">
                  <c:v>0.202777777777777</c:v>
                </c:pt>
                <c:pt idx="48">
                  <c:v>0.25277777777777699</c:v>
                </c:pt>
                <c:pt idx="49">
                  <c:v>0.226388888888888</c:v>
                </c:pt>
                <c:pt idx="50">
                  <c:v>0.211111111111111</c:v>
                </c:pt>
                <c:pt idx="51">
                  <c:v>0.194444444444444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6-459D-AD60-C46F4B0FB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711120"/>
        <c:axId val="1292750272"/>
      </c:lineChart>
      <c:catAx>
        <c:axId val="169971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50272"/>
        <c:crosses val="autoZero"/>
        <c:auto val="1"/>
        <c:lblAlgn val="ctr"/>
        <c:lblOffset val="100"/>
        <c:noMultiLvlLbl val="0"/>
      </c:catAx>
      <c:valAx>
        <c:axId val="12927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502226</xdr:colOff>
      <xdr:row>8</xdr:row>
      <xdr:rowOff>99059</xdr:rowOff>
    </xdr:from>
    <xdr:to>
      <xdr:col>34</xdr:col>
      <xdr:colOff>415636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73365-0F3D-D907-D4EB-EDB6CC7E4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5"/>
  <sheetViews>
    <sheetView tabSelected="1" topLeftCell="J7" zoomScale="85" zoomScaleNormal="85" workbookViewId="0">
      <selection activeCell="AH56" sqref="AH56"/>
    </sheetView>
  </sheetViews>
  <sheetFormatPr defaultRowHeight="14.4" x14ac:dyDescent="0.3"/>
  <cols>
    <col min="2" max="2" width="11.5546875" style="1" customWidth="1"/>
    <col min="3" max="3" width="11.88671875" customWidth="1"/>
    <col min="4" max="4" width="14" customWidth="1"/>
    <col min="5" max="5" width="14.6640625" customWidth="1"/>
    <col min="6" max="6" width="13.109375" customWidth="1"/>
    <col min="7" max="7" width="12.21875" customWidth="1"/>
    <col min="8" max="9" width="13.6640625" customWidth="1"/>
    <col min="10" max="10" width="15.33203125" customWidth="1"/>
  </cols>
  <sheetData>
    <row r="2" spans="2:16" x14ac:dyDescent="0.3">
      <c r="C2" s="6" t="s">
        <v>6</v>
      </c>
      <c r="D2" s="6"/>
      <c r="E2" s="6"/>
      <c r="F2" s="6"/>
      <c r="G2" s="6" t="s">
        <v>1</v>
      </c>
      <c r="H2" s="6"/>
      <c r="I2" s="6"/>
      <c r="J2" s="6"/>
      <c r="M2" s="6" t="s">
        <v>1</v>
      </c>
      <c r="N2" s="6"/>
      <c r="O2" s="6"/>
      <c r="P2" s="6"/>
    </row>
    <row r="3" spans="2:16" x14ac:dyDescent="0.3">
      <c r="B3" s="4" t="s">
        <v>0</v>
      </c>
      <c r="C3" s="4" t="s">
        <v>10</v>
      </c>
      <c r="D3" s="4" t="s">
        <v>9</v>
      </c>
      <c r="E3" s="4" t="s">
        <v>7</v>
      </c>
      <c r="F3" s="4" t="s">
        <v>8</v>
      </c>
      <c r="G3" s="4" t="s">
        <v>2</v>
      </c>
      <c r="H3" s="4" t="s">
        <v>3</v>
      </c>
      <c r="I3" s="4" t="s">
        <v>4</v>
      </c>
      <c r="J3" s="4" t="s">
        <v>5</v>
      </c>
      <c r="M3" s="8" t="s">
        <v>2</v>
      </c>
      <c r="N3" s="8" t="s">
        <v>3</v>
      </c>
      <c r="O3" s="8" t="s">
        <v>4</v>
      </c>
      <c r="P3" s="8" t="s">
        <v>5</v>
      </c>
    </row>
    <row r="4" spans="2:16" x14ac:dyDescent="0.3">
      <c r="B4" s="2">
        <v>10</v>
      </c>
      <c r="C4" s="3">
        <v>4237</v>
      </c>
      <c r="D4" s="3">
        <v>8749</v>
      </c>
      <c r="E4" s="3">
        <v>8029</v>
      </c>
      <c r="F4" s="3">
        <v>720</v>
      </c>
      <c r="G4" s="7">
        <v>0.20104988921775699</v>
      </c>
      <c r="H4" s="7">
        <v>0.16805555555555499</v>
      </c>
      <c r="I4" s="7">
        <v>0.25</v>
      </c>
      <c r="J4" s="7">
        <v>0.29305555555555501</v>
      </c>
      <c r="L4" s="5" t="s">
        <v>11</v>
      </c>
      <c r="M4" s="7">
        <f>MIN(G4:G55)</f>
        <v>0.14144632372160201</v>
      </c>
      <c r="N4" s="7">
        <f t="shared" ref="N4:P4" si="0">MIN(H4:H55)</f>
        <v>0.105555555555555</v>
      </c>
      <c r="O4" s="7">
        <f t="shared" si="0"/>
        <v>0.165277777777777</v>
      </c>
      <c r="P4" s="7">
        <f t="shared" si="0"/>
        <v>0.101388888888888</v>
      </c>
    </row>
    <row r="5" spans="2:16" x14ac:dyDescent="0.3">
      <c r="B5" s="2">
        <v>11</v>
      </c>
      <c r="C5" s="3">
        <v>3877</v>
      </c>
      <c r="D5" s="3">
        <v>8725</v>
      </c>
      <c r="E5" s="3">
        <v>8005</v>
      </c>
      <c r="F5" s="3">
        <v>720</v>
      </c>
      <c r="G5" s="7">
        <v>0.20053879132949201</v>
      </c>
      <c r="H5" s="7">
        <v>0.16944444444444401</v>
      </c>
      <c r="I5" s="7">
        <v>0.34722222222222199</v>
      </c>
      <c r="J5" s="7">
        <v>0.211111111111111</v>
      </c>
      <c r="L5" s="5" t="s">
        <v>12</v>
      </c>
      <c r="M5" s="7">
        <f>MAX(G4:G55)</f>
        <v>0.646860032868802</v>
      </c>
      <c r="N5" s="7">
        <f t="shared" ref="N5:P5" si="1">MAX(H4:H55)</f>
        <v>0.63472222222222197</v>
      </c>
      <c r="O5" s="7">
        <f t="shared" si="1"/>
        <v>0.71111111111111103</v>
      </c>
      <c r="P5" s="7">
        <f t="shared" si="1"/>
        <v>0.59861111111111098</v>
      </c>
    </row>
    <row r="6" spans="2:16" x14ac:dyDescent="0.3">
      <c r="B6" s="2">
        <v>13</v>
      </c>
      <c r="C6" s="3">
        <v>4237</v>
      </c>
      <c r="D6" s="3">
        <v>8749</v>
      </c>
      <c r="E6" s="3">
        <v>8029</v>
      </c>
      <c r="F6" s="3">
        <v>720</v>
      </c>
      <c r="G6" s="7">
        <v>0.23436379326895601</v>
      </c>
      <c r="H6" s="7">
        <v>0.19722222222222199</v>
      </c>
      <c r="I6" s="7">
        <v>0.3125</v>
      </c>
      <c r="J6" s="7">
        <v>0.27361111111111103</v>
      </c>
      <c r="L6" s="5" t="s">
        <v>13</v>
      </c>
      <c r="M6" s="7">
        <f>AVERAGE(G4:G55)</f>
        <v>0.23248497475371288</v>
      </c>
      <c r="N6" s="7">
        <f t="shared" ref="N6:P6" si="2">AVERAGE(H4:H55)</f>
        <v>0.20277777777777739</v>
      </c>
      <c r="O6" s="7">
        <f t="shared" si="2"/>
        <v>0.33961004273504225</v>
      </c>
      <c r="P6" s="7">
        <f t="shared" si="2"/>
        <v>0.23360042735042683</v>
      </c>
    </row>
    <row r="7" spans="2:16" x14ac:dyDescent="0.3">
      <c r="B7" s="2">
        <v>14</v>
      </c>
      <c r="C7" s="3">
        <v>3876</v>
      </c>
      <c r="D7" s="3">
        <v>8725</v>
      </c>
      <c r="E7" s="3">
        <v>8005</v>
      </c>
      <c r="F7" s="3">
        <v>720</v>
      </c>
      <c r="G7" s="7">
        <v>0.167660294280703</v>
      </c>
      <c r="H7" s="7">
        <v>0.12361111111111101</v>
      </c>
      <c r="I7" s="7">
        <v>0.30138888888888798</v>
      </c>
      <c r="J7" s="7">
        <v>0.19861111111111099</v>
      </c>
      <c r="L7" s="5" t="s">
        <v>14</v>
      </c>
      <c r="M7" s="7">
        <f>MEDIAN(G4:G55)</f>
        <v>0.22007052342212202</v>
      </c>
      <c r="N7" s="7">
        <f t="shared" ref="N7:P7" si="3">MEDIAN(H4:H55)</f>
        <v>0.19305555555555498</v>
      </c>
      <c r="O7" s="7">
        <f t="shared" si="3"/>
        <v>0.3270833333333325</v>
      </c>
      <c r="P7" s="7">
        <f t="shared" si="3"/>
        <v>0.21527777777777751</v>
      </c>
    </row>
    <row r="8" spans="2:16" x14ac:dyDescent="0.3">
      <c r="B8" s="2">
        <v>15</v>
      </c>
      <c r="C8" s="3">
        <v>4237</v>
      </c>
      <c r="D8" s="3">
        <v>8749</v>
      </c>
      <c r="E8" s="3">
        <v>8029</v>
      </c>
      <c r="F8" s="3">
        <v>720</v>
      </c>
      <c r="G8" s="7">
        <v>0.19714352250004699</v>
      </c>
      <c r="H8" s="7">
        <v>0.133333333333333</v>
      </c>
      <c r="I8" s="7">
        <v>0.25277777777777699</v>
      </c>
      <c r="J8" s="7">
        <v>0.297222222222222</v>
      </c>
    </row>
    <row r="9" spans="2:16" x14ac:dyDescent="0.3">
      <c r="B9" s="2">
        <v>16</v>
      </c>
      <c r="C9" s="3">
        <v>4170</v>
      </c>
      <c r="D9" s="3">
        <v>8749</v>
      </c>
      <c r="E9" s="3">
        <v>8029</v>
      </c>
      <c r="F9" s="3">
        <v>720</v>
      </c>
      <c r="G9" s="7">
        <v>0.22339085560986899</v>
      </c>
      <c r="H9" s="7">
        <v>0.195833333333333</v>
      </c>
      <c r="I9" s="7">
        <v>0.32222222222222202</v>
      </c>
      <c r="J9" s="7">
        <v>0.19722222222222199</v>
      </c>
    </row>
    <row r="10" spans="2:16" x14ac:dyDescent="0.3">
      <c r="B10" s="2">
        <v>17</v>
      </c>
      <c r="C10" s="3">
        <v>3879</v>
      </c>
      <c r="D10" s="3">
        <v>8725</v>
      </c>
      <c r="E10" s="3">
        <v>8005</v>
      </c>
      <c r="F10" s="3">
        <v>720</v>
      </c>
      <c r="G10" s="7">
        <v>0.14144632372160201</v>
      </c>
      <c r="H10" s="7">
        <v>0.105555555555555</v>
      </c>
      <c r="I10" s="7">
        <v>0.24444444444444399</v>
      </c>
      <c r="J10" s="7">
        <v>0.22222222222222199</v>
      </c>
    </row>
    <row r="11" spans="2:16" x14ac:dyDescent="0.3">
      <c r="B11" s="2">
        <v>18</v>
      </c>
      <c r="C11" s="3">
        <v>4239</v>
      </c>
      <c r="D11" s="3">
        <v>8749</v>
      </c>
      <c r="E11" s="3">
        <v>8029</v>
      </c>
      <c r="F11" s="3">
        <v>720</v>
      </c>
      <c r="G11" s="7">
        <v>0.27617789287305999</v>
      </c>
      <c r="H11" s="7">
        <v>0.24444444444444399</v>
      </c>
      <c r="I11" s="7">
        <v>0.41249999999999998</v>
      </c>
      <c r="J11" s="7">
        <v>0.251388888888888</v>
      </c>
    </row>
    <row r="12" spans="2:16" x14ac:dyDescent="0.3">
      <c r="B12" s="2">
        <v>19</v>
      </c>
      <c r="C12" s="3">
        <v>4224</v>
      </c>
      <c r="D12" s="3">
        <v>8749</v>
      </c>
      <c r="E12" s="3">
        <v>8029</v>
      </c>
      <c r="F12" s="3">
        <v>720</v>
      </c>
      <c r="G12" s="7">
        <v>0.26964443980071501</v>
      </c>
      <c r="H12" s="7">
        <v>0.23194444444444401</v>
      </c>
      <c r="I12" s="7">
        <v>0.406944444444444</v>
      </c>
      <c r="J12" s="7">
        <v>0.27916666666666601</v>
      </c>
    </row>
    <row r="13" spans="2:16" x14ac:dyDescent="0.3">
      <c r="B13" s="2">
        <v>20</v>
      </c>
      <c r="C13" s="3">
        <v>4237</v>
      </c>
      <c r="D13" s="3">
        <v>8749</v>
      </c>
      <c r="E13" s="3">
        <v>8029</v>
      </c>
      <c r="F13" s="3">
        <v>720</v>
      </c>
      <c r="G13" s="7">
        <v>0.242743646829887</v>
      </c>
      <c r="H13" s="7">
        <v>0.20555555555555499</v>
      </c>
      <c r="I13" s="7">
        <v>0.42916666666666597</v>
      </c>
      <c r="J13" s="7">
        <v>0.19861111111111099</v>
      </c>
    </row>
    <row r="14" spans="2:16" x14ac:dyDescent="0.3">
      <c r="B14" s="2">
        <v>21</v>
      </c>
      <c r="C14" s="3">
        <v>3878</v>
      </c>
      <c r="D14" s="3">
        <v>8725</v>
      </c>
      <c r="E14" s="3">
        <v>8005</v>
      </c>
      <c r="F14" s="3">
        <v>720</v>
      </c>
      <c r="G14" s="7">
        <v>0.17548243267840599</v>
      </c>
      <c r="H14" s="7">
        <v>0.13888888888888801</v>
      </c>
      <c r="I14" s="7">
        <v>0.31527777777777699</v>
      </c>
      <c r="J14" s="7">
        <v>0.204166666666666</v>
      </c>
    </row>
    <row r="15" spans="2:16" x14ac:dyDescent="0.3">
      <c r="B15" s="2">
        <v>22</v>
      </c>
      <c r="C15" s="3">
        <v>3877</v>
      </c>
      <c r="D15" s="3">
        <v>8725</v>
      </c>
      <c r="E15" s="3">
        <v>8005</v>
      </c>
      <c r="F15" s="3">
        <v>720</v>
      </c>
      <c r="G15" s="7">
        <v>0.19198771531244599</v>
      </c>
      <c r="H15" s="7">
        <v>0.15972222222222199</v>
      </c>
      <c r="I15" s="7">
        <v>0.36111111111111099</v>
      </c>
      <c r="J15" s="7">
        <v>0.16944444444444401</v>
      </c>
    </row>
    <row r="16" spans="2:16" x14ac:dyDescent="0.3">
      <c r="B16" s="2">
        <v>25</v>
      </c>
      <c r="C16" s="3">
        <v>3877</v>
      </c>
      <c r="D16" s="3">
        <v>8725</v>
      </c>
      <c r="E16" s="3">
        <v>8005</v>
      </c>
      <c r="F16" s="3">
        <v>720</v>
      </c>
      <c r="G16" s="7">
        <v>0.185194295839026</v>
      </c>
      <c r="H16" s="7">
        <v>0.16250000000000001</v>
      </c>
      <c r="I16" s="7">
        <v>0.26944444444444399</v>
      </c>
      <c r="J16" s="7">
        <v>0.211111111111111</v>
      </c>
    </row>
    <row r="17" spans="2:10" x14ac:dyDescent="0.3">
      <c r="B17" s="2">
        <v>26</v>
      </c>
      <c r="C17" s="3">
        <v>3878</v>
      </c>
      <c r="D17" s="3">
        <v>8725</v>
      </c>
      <c r="E17" s="3">
        <v>8005</v>
      </c>
      <c r="F17" s="3">
        <v>720</v>
      </c>
      <c r="G17" s="7">
        <v>0.25991607964449198</v>
      </c>
      <c r="H17" s="7">
        <v>0.243055555555555</v>
      </c>
      <c r="I17" s="7">
        <v>0.39444444444444399</v>
      </c>
      <c r="J17" s="7">
        <v>0.19166666666666601</v>
      </c>
    </row>
    <row r="18" spans="2:10" x14ac:dyDescent="0.3">
      <c r="B18" s="2">
        <v>30</v>
      </c>
      <c r="C18" s="3">
        <v>3791</v>
      </c>
      <c r="D18" s="3">
        <v>8725</v>
      </c>
      <c r="E18" s="3">
        <v>8005</v>
      </c>
      <c r="F18" s="3">
        <v>720</v>
      </c>
      <c r="G18" s="7">
        <v>0.164054324032819</v>
      </c>
      <c r="H18" s="7">
        <v>0.12361111111111101</v>
      </c>
      <c r="I18" s="7">
        <v>0.165277777777777</v>
      </c>
      <c r="J18" s="7">
        <v>0.31805555555555498</v>
      </c>
    </row>
    <row r="19" spans="2:10" x14ac:dyDescent="0.3">
      <c r="B19" s="2">
        <v>31</v>
      </c>
      <c r="C19" s="3">
        <v>4224</v>
      </c>
      <c r="D19" s="3">
        <v>8749</v>
      </c>
      <c r="E19" s="3">
        <v>8029</v>
      </c>
      <c r="F19" s="3">
        <v>720</v>
      </c>
      <c r="G19" s="7">
        <v>0.22849508904768001</v>
      </c>
      <c r="H19" s="7">
        <v>0.2</v>
      </c>
      <c r="I19" s="7">
        <v>0.35277777777777702</v>
      </c>
      <c r="J19" s="7">
        <v>0.180555555555555</v>
      </c>
    </row>
    <row r="20" spans="2:10" x14ac:dyDescent="0.3">
      <c r="B20" s="2">
        <v>32</v>
      </c>
      <c r="C20" s="3">
        <v>3878</v>
      </c>
      <c r="D20" s="3">
        <v>8725</v>
      </c>
      <c r="E20" s="3">
        <v>8005</v>
      </c>
      <c r="F20" s="3">
        <v>720</v>
      </c>
      <c r="G20" s="7">
        <v>0.18441245407659501</v>
      </c>
      <c r="H20" s="7">
        <v>0.15416666666666601</v>
      </c>
      <c r="I20" s="7">
        <v>0.343055555555555</v>
      </c>
      <c r="J20" s="7">
        <v>0.101388888888888</v>
      </c>
    </row>
    <row r="21" spans="2:10" x14ac:dyDescent="0.3">
      <c r="B21" s="2">
        <v>33</v>
      </c>
      <c r="C21" s="3">
        <v>4218</v>
      </c>
      <c r="D21" s="3">
        <v>8749</v>
      </c>
      <c r="E21" s="3">
        <v>8029</v>
      </c>
      <c r="F21" s="3">
        <v>720</v>
      </c>
      <c r="G21" s="7">
        <v>0.26152002494453103</v>
      </c>
      <c r="H21" s="7">
        <v>0.241666666666666</v>
      </c>
      <c r="I21" s="7">
        <v>0.36805555555555503</v>
      </c>
      <c r="J21" s="7">
        <v>0.26250000000000001</v>
      </c>
    </row>
    <row r="22" spans="2:10" x14ac:dyDescent="0.3">
      <c r="B22" s="2">
        <v>34</v>
      </c>
      <c r="C22" s="3">
        <v>3863</v>
      </c>
      <c r="D22" s="3">
        <v>8725</v>
      </c>
      <c r="E22" s="3">
        <v>8005</v>
      </c>
      <c r="F22" s="3">
        <v>720</v>
      </c>
      <c r="G22" s="7">
        <v>0.24469976171028501</v>
      </c>
      <c r="H22" s="7">
        <v>0.22500000000000001</v>
      </c>
      <c r="I22" s="7">
        <v>0.39583333333333298</v>
      </c>
      <c r="J22" s="7">
        <v>0.18194444444444399</v>
      </c>
    </row>
    <row r="23" spans="2:10" x14ac:dyDescent="0.3">
      <c r="B23" s="2">
        <v>35</v>
      </c>
      <c r="C23" s="3">
        <v>3878</v>
      </c>
      <c r="D23" s="3">
        <v>8725</v>
      </c>
      <c r="E23" s="3">
        <v>8005</v>
      </c>
      <c r="F23" s="3">
        <v>720</v>
      </c>
      <c r="G23" s="7">
        <v>0.21194074098329699</v>
      </c>
      <c r="H23" s="7">
        <v>0.18611111111111101</v>
      </c>
      <c r="I23" s="7">
        <v>0.29166666666666602</v>
      </c>
      <c r="J23" s="7">
        <v>0.227777777777777</v>
      </c>
    </row>
    <row r="24" spans="2:10" x14ac:dyDescent="0.3">
      <c r="B24" s="2">
        <v>37</v>
      </c>
      <c r="C24" s="3">
        <v>4238</v>
      </c>
      <c r="D24" s="3">
        <v>8749</v>
      </c>
      <c r="E24" s="3">
        <v>8029</v>
      </c>
      <c r="F24" s="3">
        <v>720</v>
      </c>
      <c r="G24" s="7">
        <v>0.49805906825070201</v>
      </c>
      <c r="H24" s="7">
        <v>0.47083333333333299</v>
      </c>
      <c r="I24" s="7">
        <v>0.66527777777777697</v>
      </c>
      <c r="J24" s="7">
        <v>0.38472222222222202</v>
      </c>
    </row>
    <row r="25" spans="2:10" x14ac:dyDescent="0.3">
      <c r="B25" s="2">
        <v>38</v>
      </c>
      <c r="C25" s="3">
        <v>3876</v>
      </c>
      <c r="D25" s="3">
        <v>8725</v>
      </c>
      <c r="E25" s="3">
        <v>8005</v>
      </c>
      <c r="F25" s="3">
        <v>720</v>
      </c>
      <c r="G25" s="7">
        <v>0.19305527212307799</v>
      </c>
      <c r="H25" s="7">
        <v>0.13750000000000001</v>
      </c>
      <c r="I25" s="7">
        <v>0.327777777777777</v>
      </c>
      <c r="J25" s="7">
        <v>0.147222222222222</v>
      </c>
    </row>
    <row r="26" spans="2:10" x14ac:dyDescent="0.3">
      <c r="B26" s="2">
        <v>39</v>
      </c>
      <c r="C26" s="3">
        <v>4238</v>
      </c>
      <c r="D26" s="3">
        <v>8749</v>
      </c>
      <c r="E26" s="3">
        <v>8029</v>
      </c>
      <c r="F26" s="3">
        <v>720</v>
      </c>
      <c r="G26" s="7">
        <v>0.24177259167372001</v>
      </c>
      <c r="H26" s="7">
        <v>0.204166666666666</v>
      </c>
      <c r="I26" s="7">
        <v>0.36944444444444402</v>
      </c>
      <c r="J26" s="7">
        <v>0.23055555555555499</v>
      </c>
    </row>
    <row r="27" spans="2:10" x14ac:dyDescent="0.3">
      <c r="B27" s="2">
        <v>40</v>
      </c>
      <c r="C27" s="3">
        <v>4237</v>
      </c>
      <c r="D27" s="3">
        <v>8749</v>
      </c>
      <c r="E27" s="3">
        <v>8029</v>
      </c>
      <c r="F27" s="3">
        <v>720</v>
      </c>
      <c r="G27" s="7">
        <v>0.23346885988726701</v>
      </c>
      <c r="H27" s="7">
        <v>0.18472222222222201</v>
      </c>
      <c r="I27" s="7">
        <v>0.43055555555555503</v>
      </c>
      <c r="J27" s="7">
        <v>0.2</v>
      </c>
    </row>
    <row r="28" spans="2:10" x14ac:dyDescent="0.3">
      <c r="B28" s="2">
        <v>41</v>
      </c>
      <c r="C28" s="3">
        <v>3877</v>
      </c>
      <c r="D28" s="3">
        <v>8725</v>
      </c>
      <c r="E28" s="3">
        <v>8005</v>
      </c>
      <c r="F28" s="3">
        <v>720</v>
      </c>
      <c r="G28" s="7">
        <v>0.22175806179049901</v>
      </c>
      <c r="H28" s="7">
        <v>0.211111111111111</v>
      </c>
      <c r="I28" s="7">
        <v>0.35416666666666602</v>
      </c>
      <c r="J28" s="7">
        <v>0.17638888888888801</v>
      </c>
    </row>
    <row r="29" spans="2:10" x14ac:dyDescent="0.3">
      <c r="B29" s="2">
        <v>42</v>
      </c>
      <c r="C29" s="3">
        <v>3872</v>
      </c>
      <c r="D29" s="3">
        <v>8725</v>
      </c>
      <c r="E29" s="3">
        <v>8005</v>
      </c>
      <c r="F29" s="3">
        <v>720</v>
      </c>
      <c r="G29" s="7">
        <v>0.229688971996553</v>
      </c>
      <c r="H29" s="7">
        <v>0.21527777777777701</v>
      </c>
      <c r="I29" s="7">
        <v>0.32222222222222202</v>
      </c>
      <c r="J29" s="7">
        <v>0.18194444444444399</v>
      </c>
    </row>
    <row r="30" spans="2:10" x14ac:dyDescent="0.3">
      <c r="B30" s="2">
        <v>43</v>
      </c>
      <c r="C30" s="3">
        <v>3876</v>
      </c>
      <c r="D30" s="3">
        <v>8725</v>
      </c>
      <c r="E30" s="3">
        <v>8005</v>
      </c>
      <c r="F30" s="3">
        <v>720</v>
      </c>
      <c r="G30" s="7">
        <v>0.206308306637912</v>
      </c>
      <c r="H30" s="7">
        <v>0.18194444444444399</v>
      </c>
      <c r="I30" s="7">
        <v>0.280555555555555</v>
      </c>
      <c r="J30" s="7">
        <v>0.219444444444444</v>
      </c>
    </row>
    <row r="31" spans="2:10" x14ac:dyDescent="0.3">
      <c r="B31" s="2">
        <v>45</v>
      </c>
      <c r="C31" s="3">
        <v>3878</v>
      </c>
      <c r="D31" s="3">
        <v>8725</v>
      </c>
      <c r="E31" s="3">
        <v>8005</v>
      </c>
      <c r="F31" s="3">
        <v>720</v>
      </c>
      <c r="G31" s="7">
        <v>0.20409750146105099</v>
      </c>
      <c r="H31" s="7">
        <v>0.170833333333333</v>
      </c>
      <c r="I31" s="7">
        <v>0.31805555555555498</v>
      </c>
      <c r="J31" s="7">
        <v>0.19027777777777699</v>
      </c>
    </row>
    <row r="32" spans="2:10" x14ac:dyDescent="0.3">
      <c r="B32" s="2">
        <v>49</v>
      </c>
      <c r="C32" s="3">
        <v>3879</v>
      </c>
      <c r="D32" s="3">
        <v>8725</v>
      </c>
      <c r="E32" s="3">
        <v>8005</v>
      </c>
      <c r="F32" s="3">
        <v>720</v>
      </c>
      <c r="G32" s="7">
        <v>0.27302579841808999</v>
      </c>
      <c r="H32" s="7">
        <v>0.25277777777777699</v>
      </c>
      <c r="I32" s="7">
        <v>0.35138888888888797</v>
      </c>
      <c r="J32" s="7">
        <v>0.251388888888888</v>
      </c>
    </row>
    <row r="33" spans="2:10" x14ac:dyDescent="0.3">
      <c r="B33" s="2">
        <v>50</v>
      </c>
      <c r="C33" s="3">
        <v>3866</v>
      </c>
      <c r="D33" s="3">
        <v>8725</v>
      </c>
      <c r="E33" s="3">
        <v>8005</v>
      </c>
      <c r="F33" s="3">
        <v>720</v>
      </c>
      <c r="G33" s="7">
        <v>0.17855394026889601</v>
      </c>
      <c r="H33" s="7">
        <v>0.131944444444444</v>
      </c>
      <c r="I33" s="7">
        <v>0.227777777777777</v>
      </c>
      <c r="J33" s="7">
        <v>0.26944444444444399</v>
      </c>
    </row>
    <row r="34" spans="2:10" x14ac:dyDescent="0.3">
      <c r="B34" s="2">
        <v>51</v>
      </c>
      <c r="C34" s="3">
        <v>3878</v>
      </c>
      <c r="D34" s="3">
        <v>8725</v>
      </c>
      <c r="E34" s="3">
        <v>8005</v>
      </c>
      <c r="F34" s="3">
        <v>720</v>
      </c>
      <c r="G34" s="7">
        <v>0.25687958159968799</v>
      </c>
      <c r="H34" s="7">
        <v>0.25416666666666599</v>
      </c>
      <c r="I34" s="7">
        <v>0.36805555555555503</v>
      </c>
      <c r="J34" s="7">
        <v>0.19027777777777699</v>
      </c>
    </row>
    <row r="35" spans="2:10" x14ac:dyDescent="0.3">
      <c r="B35" s="2">
        <v>52</v>
      </c>
      <c r="C35" s="3">
        <v>3883</v>
      </c>
      <c r="D35" s="3">
        <v>8725</v>
      </c>
      <c r="E35" s="3">
        <v>8005</v>
      </c>
      <c r="F35" s="3">
        <v>720</v>
      </c>
      <c r="G35" s="7">
        <v>0.29530941271532002</v>
      </c>
      <c r="H35" s="7">
        <v>0.27361111111111103</v>
      </c>
      <c r="I35" s="7">
        <v>0.266666666666666</v>
      </c>
      <c r="J35" s="7">
        <v>0.38333333333333303</v>
      </c>
    </row>
    <row r="36" spans="2:10" x14ac:dyDescent="0.3">
      <c r="B36" s="2">
        <v>53</v>
      </c>
      <c r="C36" s="3">
        <v>3865</v>
      </c>
      <c r="D36" s="3">
        <v>8725</v>
      </c>
      <c r="E36" s="3">
        <v>8005</v>
      </c>
      <c r="F36" s="3">
        <v>720</v>
      </c>
      <c r="G36" s="7">
        <v>0.22680162805850501</v>
      </c>
      <c r="H36" s="7">
        <v>0.19722222222222199</v>
      </c>
      <c r="I36" s="7">
        <v>0.29444444444444401</v>
      </c>
      <c r="J36" s="7">
        <v>0.24444444444444399</v>
      </c>
    </row>
    <row r="37" spans="2:10" x14ac:dyDescent="0.3">
      <c r="B37" s="2">
        <v>54</v>
      </c>
      <c r="C37" s="3">
        <v>3873</v>
      </c>
      <c r="D37" s="3">
        <v>8725</v>
      </c>
      <c r="E37" s="3">
        <v>8005</v>
      </c>
      <c r="F37" s="3">
        <v>720</v>
      </c>
      <c r="G37" s="7">
        <v>0.24683562596224001</v>
      </c>
      <c r="H37" s="7">
        <v>0.234722222222222</v>
      </c>
      <c r="I37" s="7">
        <v>0.36388888888888798</v>
      </c>
      <c r="J37" s="7">
        <v>0.18194444444444399</v>
      </c>
    </row>
    <row r="38" spans="2:10" x14ac:dyDescent="0.3">
      <c r="B38" s="2">
        <v>55</v>
      </c>
      <c r="C38" s="3">
        <v>4231</v>
      </c>
      <c r="D38" s="3">
        <v>8749</v>
      </c>
      <c r="E38" s="3">
        <v>8029</v>
      </c>
      <c r="F38" s="3">
        <v>720</v>
      </c>
      <c r="G38" s="7">
        <v>0.21353844132211999</v>
      </c>
      <c r="H38" s="7">
        <v>0.16250000000000001</v>
      </c>
      <c r="I38" s="7">
        <v>0.31111111111111101</v>
      </c>
      <c r="J38" s="7">
        <v>0.29166666666666602</v>
      </c>
    </row>
    <row r="39" spans="2:10" x14ac:dyDescent="0.3">
      <c r="B39" s="2">
        <v>56</v>
      </c>
      <c r="C39" s="3">
        <v>4231</v>
      </c>
      <c r="D39" s="3">
        <v>8749</v>
      </c>
      <c r="E39" s="3">
        <v>8029</v>
      </c>
      <c r="F39" s="3">
        <v>720</v>
      </c>
      <c r="G39" s="7">
        <v>0.17277283333272</v>
      </c>
      <c r="H39" s="7">
        <v>0.126388888888888</v>
      </c>
      <c r="I39" s="7">
        <v>0.29027777777777702</v>
      </c>
      <c r="J39" s="7">
        <v>0.24027777777777701</v>
      </c>
    </row>
    <row r="40" spans="2:10" x14ac:dyDescent="0.3">
      <c r="B40" s="2">
        <v>58</v>
      </c>
      <c r="C40" s="3">
        <v>3633</v>
      </c>
      <c r="D40" s="3">
        <v>8749</v>
      </c>
      <c r="E40" s="3">
        <v>8029</v>
      </c>
      <c r="F40" s="3">
        <v>720</v>
      </c>
      <c r="G40" s="7">
        <v>0.245768853370638</v>
      </c>
      <c r="H40" s="7">
        <v>0.227777777777777</v>
      </c>
      <c r="I40" s="7">
        <v>0.44166666666666599</v>
      </c>
      <c r="J40" s="7">
        <v>0.12777777777777699</v>
      </c>
    </row>
    <row r="41" spans="2:10" x14ac:dyDescent="0.3">
      <c r="B41" s="2">
        <v>60</v>
      </c>
      <c r="C41" s="3">
        <v>4230</v>
      </c>
      <c r="D41" s="3">
        <v>8749</v>
      </c>
      <c r="E41" s="3">
        <v>8029</v>
      </c>
      <c r="F41" s="3">
        <v>720</v>
      </c>
      <c r="G41" s="7">
        <v>0.21068599174002201</v>
      </c>
      <c r="H41" s="7">
        <v>0.16805555555555499</v>
      </c>
      <c r="I41" s="7">
        <v>0.32638888888888801</v>
      </c>
      <c r="J41" s="7">
        <v>0.27361111111111103</v>
      </c>
    </row>
    <row r="42" spans="2:10" x14ac:dyDescent="0.3">
      <c r="B42" s="2">
        <v>61</v>
      </c>
      <c r="C42" s="3">
        <v>3878</v>
      </c>
      <c r="D42" s="3">
        <v>8725</v>
      </c>
      <c r="E42" s="3">
        <v>8005</v>
      </c>
      <c r="F42" s="3">
        <v>720</v>
      </c>
      <c r="G42" s="7">
        <v>0.21838298505374501</v>
      </c>
      <c r="H42" s="7">
        <v>0.19027777777777699</v>
      </c>
      <c r="I42" s="7">
        <v>0.33888888888888802</v>
      </c>
      <c r="J42" s="7">
        <v>0.180555555555555</v>
      </c>
    </row>
    <row r="43" spans="2:10" x14ac:dyDescent="0.3">
      <c r="B43" s="2">
        <v>62</v>
      </c>
      <c r="C43" s="3">
        <v>4251</v>
      </c>
      <c r="D43" s="3">
        <v>8749</v>
      </c>
      <c r="E43" s="3">
        <v>8029</v>
      </c>
      <c r="F43" s="3">
        <v>720</v>
      </c>
      <c r="G43" s="7">
        <v>0.23543966135054401</v>
      </c>
      <c r="H43" s="7">
        <v>0.21249999999999999</v>
      </c>
      <c r="I43" s="7">
        <v>0.30416666666666597</v>
      </c>
      <c r="J43" s="7">
        <v>0.27083333333333298</v>
      </c>
    </row>
    <row r="44" spans="2:10" x14ac:dyDescent="0.3">
      <c r="B44" s="2">
        <v>63</v>
      </c>
      <c r="C44" s="3">
        <v>3877</v>
      </c>
      <c r="D44" s="3">
        <v>8725</v>
      </c>
      <c r="E44" s="3">
        <v>8005</v>
      </c>
      <c r="F44" s="3">
        <v>720</v>
      </c>
      <c r="G44" s="7">
        <v>0.22747656837174399</v>
      </c>
      <c r="H44" s="7">
        <v>0.20138888888888801</v>
      </c>
      <c r="I44" s="7">
        <v>0.40138888888888802</v>
      </c>
      <c r="J44" s="7">
        <v>0.170833333333333</v>
      </c>
    </row>
    <row r="45" spans="2:10" x14ac:dyDescent="0.3">
      <c r="B45" s="2">
        <v>64</v>
      </c>
      <c r="C45" s="3">
        <v>3895</v>
      </c>
      <c r="D45" s="3">
        <v>8725</v>
      </c>
      <c r="E45" s="3">
        <v>8005</v>
      </c>
      <c r="F45" s="3">
        <v>720</v>
      </c>
      <c r="G45" s="7">
        <v>0.21339725035957</v>
      </c>
      <c r="H45" s="7">
        <v>0.179166666666666</v>
      </c>
      <c r="I45" s="7">
        <v>0.359722222222222</v>
      </c>
      <c r="J45" s="7">
        <v>0.179166666666666</v>
      </c>
    </row>
    <row r="46" spans="2:10" x14ac:dyDescent="0.3">
      <c r="B46" s="2">
        <v>65</v>
      </c>
      <c r="C46" s="3">
        <v>4226</v>
      </c>
      <c r="D46" s="3">
        <v>8749</v>
      </c>
      <c r="E46" s="3">
        <v>8029</v>
      </c>
      <c r="F46" s="3">
        <v>720</v>
      </c>
      <c r="G46" s="7">
        <v>0.28736759773340398</v>
      </c>
      <c r="H46" s="7">
        <v>0.27777777777777701</v>
      </c>
      <c r="I46" s="7">
        <v>0.35</v>
      </c>
      <c r="J46" s="7">
        <v>0.31111111111111101</v>
      </c>
    </row>
    <row r="47" spans="2:10" x14ac:dyDescent="0.3">
      <c r="B47" s="2">
        <v>66</v>
      </c>
      <c r="C47" s="3">
        <v>3879</v>
      </c>
      <c r="D47" s="3">
        <v>8725</v>
      </c>
      <c r="E47" s="3">
        <v>8005</v>
      </c>
      <c r="F47" s="3">
        <v>720</v>
      </c>
      <c r="G47" s="7">
        <v>0.21681200111263199</v>
      </c>
      <c r="H47" s="7">
        <v>0.19722222222222199</v>
      </c>
      <c r="I47" s="7">
        <v>0.313888888888888</v>
      </c>
      <c r="J47" s="7">
        <v>0.202777777777777</v>
      </c>
    </row>
    <row r="48" spans="2:10" x14ac:dyDescent="0.3">
      <c r="B48" s="2">
        <v>67</v>
      </c>
      <c r="C48" s="3">
        <v>3865</v>
      </c>
      <c r="D48" s="3">
        <v>8725</v>
      </c>
      <c r="E48" s="3">
        <v>8005</v>
      </c>
      <c r="F48" s="3">
        <v>720</v>
      </c>
      <c r="G48" s="7">
        <v>0.20252523831045499</v>
      </c>
      <c r="H48" s="7">
        <v>0.17638888888888801</v>
      </c>
      <c r="I48" s="7">
        <v>0.21388888888888799</v>
      </c>
      <c r="J48" s="7">
        <v>0.26111111111111102</v>
      </c>
    </row>
    <row r="49" spans="2:10" x14ac:dyDescent="0.3">
      <c r="B49" s="2">
        <v>68</v>
      </c>
      <c r="C49" s="3">
        <v>4145</v>
      </c>
      <c r="D49" s="3">
        <v>8749</v>
      </c>
      <c r="E49" s="3">
        <v>8029</v>
      </c>
      <c r="F49" s="3">
        <v>720</v>
      </c>
      <c r="G49" s="7">
        <v>0.646860032868802</v>
      </c>
      <c r="H49" s="7">
        <v>0.63472222222222197</v>
      </c>
      <c r="I49" s="7">
        <v>0.71111111111111103</v>
      </c>
      <c r="J49" s="7">
        <v>0.59861111111111098</v>
      </c>
    </row>
    <row r="50" spans="2:10" x14ac:dyDescent="0.3">
      <c r="B50" s="2">
        <v>69</v>
      </c>
      <c r="C50" s="3">
        <v>3877</v>
      </c>
      <c r="D50" s="3">
        <v>8725</v>
      </c>
      <c r="E50" s="3">
        <v>8005</v>
      </c>
      <c r="F50" s="3">
        <v>720</v>
      </c>
      <c r="G50" s="7">
        <v>0.182649225457828</v>
      </c>
      <c r="H50" s="7">
        <v>0.13750000000000001</v>
      </c>
      <c r="I50" s="7">
        <v>0.281944444444444</v>
      </c>
      <c r="J50" s="7">
        <v>0.22916666666666599</v>
      </c>
    </row>
    <row r="51" spans="2:10" x14ac:dyDescent="0.3">
      <c r="B51" s="2">
        <v>71</v>
      </c>
      <c r="C51" s="3">
        <v>3879</v>
      </c>
      <c r="D51" s="3">
        <v>8725</v>
      </c>
      <c r="E51" s="3">
        <v>8005</v>
      </c>
      <c r="F51" s="3">
        <v>720</v>
      </c>
      <c r="G51" s="7">
        <v>0.25917303841627698</v>
      </c>
      <c r="H51" s="7">
        <v>0.22500000000000001</v>
      </c>
      <c r="I51" s="7">
        <v>0.41388888888888797</v>
      </c>
      <c r="J51" s="7">
        <v>0.202777777777777</v>
      </c>
    </row>
    <row r="52" spans="2:10" x14ac:dyDescent="0.3">
      <c r="B52" s="2">
        <v>72</v>
      </c>
      <c r="C52" s="3">
        <v>3877</v>
      </c>
      <c r="D52" s="3">
        <v>8725</v>
      </c>
      <c r="E52" s="3">
        <v>8005</v>
      </c>
      <c r="F52" s="3">
        <v>720</v>
      </c>
      <c r="G52" s="7">
        <v>0.21355681527866799</v>
      </c>
      <c r="H52" s="7">
        <v>0.18611111111111101</v>
      </c>
      <c r="I52" s="7">
        <v>0.29166666666666602</v>
      </c>
      <c r="J52" s="7">
        <v>0.25277777777777699</v>
      </c>
    </row>
    <row r="53" spans="2:10" x14ac:dyDescent="0.3">
      <c r="B53" s="2">
        <v>73</v>
      </c>
      <c r="C53" s="3">
        <v>3874</v>
      </c>
      <c r="D53" s="3">
        <v>8725</v>
      </c>
      <c r="E53" s="3">
        <v>8005</v>
      </c>
      <c r="F53" s="3">
        <v>720</v>
      </c>
      <c r="G53" s="7">
        <v>0.18553202412030001</v>
      </c>
      <c r="H53" s="7">
        <v>0.165277777777777</v>
      </c>
      <c r="I53" s="7">
        <v>0.22222222222222199</v>
      </c>
      <c r="J53" s="7">
        <v>0.226388888888888</v>
      </c>
    </row>
    <row r="54" spans="2:10" x14ac:dyDescent="0.3">
      <c r="B54" s="2">
        <v>74</v>
      </c>
      <c r="C54" s="3">
        <v>3872</v>
      </c>
      <c r="D54" s="3">
        <v>8725</v>
      </c>
      <c r="E54" s="3">
        <v>8005</v>
      </c>
      <c r="F54" s="3">
        <v>720</v>
      </c>
      <c r="G54" s="7">
        <v>0.15748257831610599</v>
      </c>
      <c r="H54" s="7">
        <v>0.131944444444444</v>
      </c>
      <c r="I54" s="7">
        <v>0.27083333333333298</v>
      </c>
      <c r="J54" s="7">
        <v>0.211111111111111</v>
      </c>
    </row>
    <row r="55" spans="2:10" x14ac:dyDescent="0.3">
      <c r="B55" s="2">
        <v>75</v>
      </c>
      <c r="C55" s="3">
        <v>3852</v>
      </c>
      <c r="D55" s="3">
        <v>8725</v>
      </c>
      <c r="E55" s="3">
        <v>8005</v>
      </c>
      <c r="F55" s="3">
        <v>720</v>
      </c>
      <c r="G55" s="7">
        <v>0.23232056213230901</v>
      </c>
      <c r="H55" s="7">
        <v>0.21388888888888799</v>
      </c>
      <c r="I55" s="7">
        <v>0.34027777777777701</v>
      </c>
      <c r="J55" s="7">
        <v>0.194444444444444</v>
      </c>
    </row>
  </sheetData>
  <mergeCells count="3">
    <mergeCell ref="G2:J2"/>
    <mergeCell ref="C2:F2"/>
    <mergeCell ref="M2:P2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2023-05-04T06:02:56Z</dcterms:created>
  <dcterms:modified xsi:type="dcterms:W3CDTF">2023-05-04T06:15:12Z</dcterms:modified>
</cp:coreProperties>
</file>