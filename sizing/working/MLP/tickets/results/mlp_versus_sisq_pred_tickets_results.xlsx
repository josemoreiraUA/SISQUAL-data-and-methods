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pc\Notebooks\pred_forecast_vs_real_tickets\results\"/>
    </mc:Choice>
  </mc:AlternateContent>
  <xr:revisionPtr revIDLastSave="0" documentId="13_ncr:40009_{A870C3B7-C547-4DC1-B81E-14BB2EABA214}" xr6:coauthVersionLast="47" xr6:coauthVersionMax="47" xr10:uidLastSave="{00000000-0000-0000-0000-000000000000}"/>
  <bookViews>
    <workbookView xWindow="-108" yWindow="-108" windowWidth="23256" windowHeight="13176"/>
  </bookViews>
  <sheets>
    <sheet name="mlp_versus_sisq_pred_tickets_re" sheetId="1" r:id="rId1"/>
  </sheets>
  <calcPr calcId="0"/>
</workbook>
</file>

<file path=xl/calcChain.xml><?xml version="1.0" encoding="utf-8"?>
<calcChain xmlns="http://schemas.openxmlformats.org/spreadsheetml/2006/main">
  <c r="N8" i="1" l="1"/>
  <c r="M8" i="1"/>
  <c r="N7" i="1"/>
  <c r="M7" i="1"/>
  <c r="N6" i="1"/>
  <c r="M6" i="1"/>
  <c r="N5" i="1"/>
  <c r="M5" i="1"/>
  <c r="L8" i="1"/>
  <c r="L7" i="1"/>
  <c r="L6" i="1"/>
  <c r="L5" i="1"/>
</calcChain>
</file>

<file path=xl/sharedStrings.xml><?xml version="1.0" encoding="utf-8"?>
<sst xmlns="http://schemas.openxmlformats.org/spreadsheetml/2006/main" count="20" uniqueCount="13">
  <si>
    <t>Store ID</t>
  </si>
  <si>
    <t>MLP</t>
  </si>
  <si>
    <t>MAE</t>
  </si>
  <si>
    <t>SISQ</t>
  </si>
  <si>
    <t>MSE</t>
  </si>
  <si>
    <t>R2</t>
  </si>
  <si>
    <t>Mlp/Sisq</t>
  </si>
  <si>
    <t>Min</t>
  </si>
  <si>
    <t>Max</t>
  </si>
  <si>
    <t>Mean</t>
  </si>
  <si>
    <t>Median</t>
  </si>
  <si>
    <t>MLP/SISQ</t>
  </si>
  <si>
    <t>Directly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</si>
</sst>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0" xfId="0" applyFont="1" applyBorder="1"/>
    <xf numFmtId="0" fontId="16" fillId="0" borderId="11" xfId="0" applyFont="1" applyBorder="1" applyAlignment="1">
      <alignment horizontal="center"/>
    </xf>
    <xf numFmtId="0" fontId="16" fillId="0" borderId="11" xfId="0" applyFont="1" applyBorder="1"/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10" xfId="0" applyNumberFormat="1" applyBorder="1"/>
    <xf numFmtId="2" fontId="0" fillId="0" borderId="10" xfId="0" applyNumberFormat="1" applyBorder="1"/>
    <xf numFmtId="0" fontId="16" fillId="0" borderId="11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Tickets Forecast Comparison MAE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mlp_versus_sisq_pred_tickets_re!$C$2</c:f>
              <c:strCache>
                <c:ptCount val="1"/>
                <c:pt idx="0">
                  <c:v>MLP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mlp_versus_sisq_pred_tickets_re!$B$4:$B$55</c:f>
              <c:numCache>
                <c:formatCode>General</c:formatCode>
                <c:ptCount val="52"/>
                <c:pt idx="0">
                  <c:v>10</c:v>
                </c:pt>
                <c:pt idx="1">
                  <c:v>11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25</c:v>
                </c:pt>
                <c:pt idx="13">
                  <c:v>26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37</c:v>
                </c:pt>
                <c:pt idx="21">
                  <c:v>38</c:v>
                </c:pt>
                <c:pt idx="22">
                  <c:v>39</c:v>
                </c:pt>
                <c:pt idx="23">
                  <c:v>40</c:v>
                </c:pt>
                <c:pt idx="24">
                  <c:v>41</c:v>
                </c:pt>
                <c:pt idx="25">
                  <c:v>42</c:v>
                </c:pt>
                <c:pt idx="26">
                  <c:v>43</c:v>
                </c:pt>
                <c:pt idx="27">
                  <c:v>45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53</c:v>
                </c:pt>
                <c:pt idx="33">
                  <c:v>54</c:v>
                </c:pt>
                <c:pt idx="34">
                  <c:v>55</c:v>
                </c:pt>
                <c:pt idx="35">
                  <c:v>56</c:v>
                </c:pt>
                <c:pt idx="36">
                  <c:v>58</c:v>
                </c:pt>
                <c:pt idx="37">
                  <c:v>60</c:v>
                </c:pt>
                <c:pt idx="38">
                  <c:v>61</c:v>
                </c:pt>
                <c:pt idx="39">
                  <c:v>62</c:v>
                </c:pt>
                <c:pt idx="40">
                  <c:v>63</c:v>
                </c:pt>
                <c:pt idx="41">
                  <c:v>64</c:v>
                </c:pt>
                <c:pt idx="42">
                  <c:v>65</c:v>
                </c:pt>
                <c:pt idx="43">
                  <c:v>66</c:v>
                </c:pt>
                <c:pt idx="44">
                  <c:v>67</c:v>
                </c:pt>
                <c:pt idx="45">
                  <c:v>68</c:v>
                </c:pt>
                <c:pt idx="46">
                  <c:v>69</c:v>
                </c:pt>
                <c:pt idx="47">
                  <c:v>71</c:v>
                </c:pt>
                <c:pt idx="48">
                  <c:v>72</c:v>
                </c:pt>
                <c:pt idx="49">
                  <c:v>73</c:v>
                </c:pt>
                <c:pt idx="50">
                  <c:v>74</c:v>
                </c:pt>
                <c:pt idx="51">
                  <c:v>75</c:v>
                </c:pt>
              </c:numCache>
            </c:numRef>
          </c:cat>
          <c:val>
            <c:numRef>
              <c:f>mlp_versus_sisq_pred_tickets_re!$C$4:$C$55</c:f>
              <c:numCache>
                <c:formatCode>0.000</c:formatCode>
                <c:ptCount val="52"/>
                <c:pt idx="0">
                  <c:v>7.6284617011910703</c:v>
                </c:pt>
                <c:pt idx="1">
                  <c:v>5.06861110563566</c:v>
                </c:pt>
                <c:pt idx="2">
                  <c:v>6.0376213764347098</c:v>
                </c:pt>
                <c:pt idx="3">
                  <c:v>4.7849567067575096</c:v>
                </c:pt>
                <c:pt idx="4">
                  <c:v>5.0867983906108396</c:v>
                </c:pt>
                <c:pt idx="5">
                  <c:v>6.8605672930655599</c:v>
                </c:pt>
                <c:pt idx="6">
                  <c:v>4.3025245459620702</c:v>
                </c:pt>
                <c:pt idx="7">
                  <c:v>6.9237463079982398</c:v>
                </c:pt>
                <c:pt idx="8">
                  <c:v>8.0789819687367004</c:v>
                </c:pt>
                <c:pt idx="9">
                  <c:v>6.8478397478417898</c:v>
                </c:pt>
                <c:pt idx="10">
                  <c:v>4.0420023778309</c:v>
                </c:pt>
                <c:pt idx="11">
                  <c:v>4.42279711622764</c:v>
                </c:pt>
                <c:pt idx="12">
                  <c:v>4.6226039010709004</c:v>
                </c:pt>
                <c:pt idx="13">
                  <c:v>5.3713581865652698</c:v>
                </c:pt>
                <c:pt idx="14">
                  <c:v>3.6399339652327698</c:v>
                </c:pt>
                <c:pt idx="15">
                  <c:v>6.8942169688302801</c:v>
                </c:pt>
                <c:pt idx="16">
                  <c:v>3.1279536996072399</c:v>
                </c:pt>
                <c:pt idx="17">
                  <c:v>6.94107406401322</c:v>
                </c:pt>
                <c:pt idx="18">
                  <c:v>4.3847539368726496</c:v>
                </c:pt>
                <c:pt idx="19">
                  <c:v>6.3015735228131398</c:v>
                </c:pt>
                <c:pt idx="20">
                  <c:v>9.9333327934465494</c:v>
                </c:pt>
                <c:pt idx="21">
                  <c:v>3.6174175629335101</c:v>
                </c:pt>
                <c:pt idx="22">
                  <c:v>6.1643565222318202</c:v>
                </c:pt>
                <c:pt idx="23">
                  <c:v>5.3677199108420703</c:v>
                </c:pt>
                <c:pt idx="24">
                  <c:v>7.5362177678316797</c:v>
                </c:pt>
                <c:pt idx="25">
                  <c:v>4.7676942997449299</c:v>
                </c:pt>
                <c:pt idx="26">
                  <c:v>5.5454074289775503</c:v>
                </c:pt>
                <c:pt idx="27">
                  <c:v>4.9204380610885403</c:v>
                </c:pt>
                <c:pt idx="28">
                  <c:v>5.2548592652419899</c:v>
                </c:pt>
                <c:pt idx="29">
                  <c:v>3.39254236332193</c:v>
                </c:pt>
                <c:pt idx="30">
                  <c:v>5.3441613935840202</c:v>
                </c:pt>
                <c:pt idx="31">
                  <c:v>6.0517339457546599</c:v>
                </c:pt>
                <c:pt idx="32">
                  <c:v>3.4589938126836599</c:v>
                </c:pt>
                <c:pt idx="33">
                  <c:v>4.1664360366049404</c:v>
                </c:pt>
                <c:pt idx="34">
                  <c:v>6.7283476189322604</c:v>
                </c:pt>
                <c:pt idx="35">
                  <c:v>5.6790124269229301</c:v>
                </c:pt>
                <c:pt idx="36">
                  <c:v>6.1745418932221501</c:v>
                </c:pt>
                <c:pt idx="37">
                  <c:v>5.1673549909013898</c:v>
                </c:pt>
                <c:pt idx="38">
                  <c:v>5.6002412396780503</c:v>
                </c:pt>
                <c:pt idx="39">
                  <c:v>5.1535012379946004</c:v>
                </c:pt>
                <c:pt idx="40">
                  <c:v>5.2276310095488201</c:v>
                </c:pt>
                <c:pt idx="41">
                  <c:v>5.7523668433828101</c:v>
                </c:pt>
                <c:pt idx="42">
                  <c:v>6.1549200824146597</c:v>
                </c:pt>
                <c:pt idx="43">
                  <c:v>5.1407071089221299</c:v>
                </c:pt>
                <c:pt idx="44">
                  <c:v>2.8352370821833102</c:v>
                </c:pt>
                <c:pt idx="45">
                  <c:v>10.745697315082101</c:v>
                </c:pt>
                <c:pt idx="46">
                  <c:v>3.72077654621825</c:v>
                </c:pt>
                <c:pt idx="47">
                  <c:v>4.2968488562776397</c:v>
                </c:pt>
                <c:pt idx="48">
                  <c:v>4.4664315032911102</c:v>
                </c:pt>
                <c:pt idx="49">
                  <c:v>1.9015912451861401</c:v>
                </c:pt>
                <c:pt idx="50">
                  <c:v>2.3015429757891699</c:v>
                </c:pt>
                <c:pt idx="51">
                  <c:v>8.9538583061738404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F2-4A70-BA55-CE8767139443}"/>
            </c:ext>
          </c:extLst>
        </c:ser>
        <c:ser>
          <c:idx val="1"/>
          <c:order val="1"/>
          <c:tx>
            <c:strRef>
              <c:f>mlp_versus_sisq_pred_tickets_re!$F$2</c:f>
              <c:strCache>
                <c:ptCount val="1"/>
                <c:pt idx="0">
                  <c:v>SISQ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mlp_versus_sisq_pred_tickets_re!$B$4:$B$55</c:f>
              <c:numCache>
                <c:formatCode>General</c:formatCode>
                <c:ptCount val="52"/>
                <c:pt idx="0">
                  <c:v>10</c:v>
                </c:pt>
                <c:pt idx="1">
                  <c:v>11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25</c:v>
                </c:pt>
                <c:pt idx="13">
                  <c:v>26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37</c:v>
                </c:pt>
                <c:pt idx="21">
                  <c:v>38</c:v>
                </c:pt>
                <c:pt idx="22">
                  <c:v>39</c:v>
                </c:pt>
                <c:pt idx="23">
                  <c:v>40</c:v>
                </c:pt>
                <c:pt idx="24">
                  <c:v>41</c:v>
                </c:pt>
                <c:pt idx="25">
                  <c:v>42</c:v>
                </c:pt>
                <c:pt idx="26">
                  <c:v>43</c:v>
                </c:pt>
                <c:pt idx="27">
                  <c:v>45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53</c:v>
                </c:pt>
                <c:pt idx="33">
                  <c:v>54</c:v>
                </c:pt>
                <c:pt idx="34">
                  <c:v>55</c:v>
                </c:pt>
                <c:pt idx="35">
                  <c:v>56</c:v>
                </c:pt>
                <c:pt idx="36">
                  <c:v>58</c:v>
                </c:pt>
                <c:pt idx="37">
                  <c:v>60</c:v>
                </c:pt>
                <c:pt idx="38">
                  <c:v>61</c:v>
                </c:pt>
                <c:pt idx="39">
                  <c:v>62</c:v>
                </c:pt>
                <c:pt idx="40">
                  <c:v>63</c:v>
                </c:pt>
                <c:pt idx="41">
                  <c:v>64</c:v>
                </c:pt>
                <c:pt idx="42">
                  <c:v>65</c:v>
                </c:pt>
                <c:pt idx="43">
                  <c:v>66</c:v>
                </c:pt>
                <c:pt idx="44">
                  <c:v>67</c:v>
                </c:pt>
                <c:pt idx="45">
                  <c:v>68</c:v>
                </c:pt>
                <c:pt idx="46">
                  <c:v>69</c:v>
                </c:pt>
                <c:pt idx="47">
                  <c:v>71</c:v>
                </c:pt>
                <c:pt idx="48">
                  <c:v>72</c:v>
                </c:pt>
                <c:pt idx="49">
                  <c:v>73</c:v>
                </c:pt>
                <c:pt idx="50">
                  <c:v>74</c:v>
                </c:pt>
                <c:pt idx="51">
                  <c:v>75</c:v>
                </c:pt>
              </c:numCache>
            </c:numRef>
          </c:cat>
          <c:val>
            <c:numRef>
              <c:f>mlp_versus_sisq_pred_tickets_re!$F$4:$F$55</c:f>
              <c:numCache>
                <c:formatCode>0.000</c:formatCode>
                <c:ptCount val="52"/>
                <c:pt idx="0">
                  <c:v>9.2138888888888797</c:v>
                </c:pt>
                <c:pt idx="1">
                  <c:v>5.9194444444444398</c:v>
                </c:pt>
                <c:pt idx="2">
                  <c:v>8.5374999999999996</c:v>
                </c:pt>
                <c:pt idx="3">
                  <c:v>8.0152777777777704</c:v>
                </c:pt>
                <c:pt idx="4">
                  <c:v>5.1486111111111104</c:v>
                </c:pt>
                <c:pt idx="5">
                  <c:v>5.2750000000000004</c:v>
                </c:pt>
                <c:pt idx="6">
                  <c:v>7.1305555555555502</c:v>
                </c:pt>
                <c:pt idx="7">
                  <c:v>10.137499999999999</c:v>
                </c:pt>
                <c:pt idx="8">
                  <c:v>11.0875</c:v>
                </c:pt>
                <c:pt idx="9">
                  <c:v>9.5069444444444393</c:v>
                </c:pt>
                <c:pt idx="10">
                  <c:v>4.7666666666666604</c:v>
                </c:pt>
                <c:pt idx="11">
                  <c:v>4.8569444444444398</c:v>
                </c:pt>
                <c:pt idx="12">
                  <c:v>6.36527777777777</c:v>
                </c:pt>
                <c:pt idx="13">
                  <c:v>6.2055555555555504</c:v>
                </c:pt>
                <c:pt idx="14">
                  <c:v>5.1305555555555502</c:v>
                </c:pt>
                <c:pt idx="15">
                  <c:v>6.87083333333333</c:v>
                </c:pt>
                <c:pt idx="16">
                  <c:v>3.1083333333333298</c:v>
                </c:pt>
                <c:pt idx="17">
                  <c:v>7.99444444444444</c:v>
                </c:pt>
                <c:pt idx="18">
                  <c:v>4.1388888888888804</c:v>
                </c:pt>
                <c:pt idx="19">
                  <c:v>5.95</c:v>
                </c:pt>
                <c:pt idx="20">
                  <c:v>13.9291666666666</c:v>
                </c:pt>
                <c:pt idx="21">
                  <c:v>3.7847222222222201</c:v>
                </c:pt>
                <c:pt idx="22">
                  <c:v>5.1986111111111102</c:v>
                </c:pt>
                <c:pt idx="23">
                  <c:v>5.8444444444444397</c:v>
                </c:pt>
                <c:pt idx="24">
                  <c:v>9.9486111111111093</c:v>
                </c:pt>
                <c:pt idx="25">
                  <c:v>4.5333333333333297</c:v>
                </c:pt>
                <c:pt idx="26">
                  <c:v>4.7041666666666604</c:v>
                </c:pt>
                <c:pt idx="27">
                  <c:v>4.67638888888888</c:v>
                </c:pt>
                <c:pt idx="28">
                  <c:v>6.3375000000000004</c:v>
                </c:pt>
                <c:pt idx="29">
                  <c:v>3.5833333333333299</c:v>
                </c:pt>
                <c:pt idx="30">
                  <c:v>4.9472222222222202</c:v>
                </c:pt>
                <c:pt idx="31">
                  <c:v>4.6958333333333302</c:v>
                </c:pt>
                <c:pt idx="32">
                  <c:v>3.11805555555555</c:v>
                </c:pt>
                <c:pt idx="33">
                  <c:v>4.23888888888888</c:v>
                </c:pt>
                <c:pt idx="34">
                  <c:v>7.1333333333333302</c:v>
                </c:pt>
                <c:pt idx="35">
                  <c:v>6.93611111111111</c:v>
                </c:pt>
                <c:pt idx="36">
                  <c:v>3.9013888888888801</c:v>
                </c:pt>
                <c:pt idx="37">
                  <c:v>6.1944444444444402</c:v>
                </c:pt>
                <c:pt idx="38">
                  <c:v>5.2055555555555504</c:v>
                </c:pt>
                <c:pt idx="39">
                  <c:v>6.2333333333333298</c:v>
                </c:pt>
                <c:pt idx="40">
                  <c:v>10.1875</c:v>
                </c:pt>
                <c:pt idx="41">
                  <c:v>4.9180555555555499</c:v>
                </c:pt>
                <c:pt idx="42">
                  <c:v>6.2236111111111097</c:v>
                </c:pt>
                <c:pt idx="43">
                  <c:v>3.6069444444444398</c:v>
                </c:pt>
                <c:pt idx="44">
                  <c:v>3.1902777777777702</c:v>
                </c:pt>
                <c:pt idx="45">
                  <c:v>12.1458333333333</c:v>
                </c:pt>
                <c:pt idx="46">
                  <c:v>3.61805555555555</c:v>
                </c:pt>
                <c:pt idx="47">
                  <c:v>5.2222222222222197</c:v>
                </c:pt>
                <c:pt idx="48">
                  <c:v>4.3611111111111098</c:v>
                </c:pt>
                <c:pt idx="49">
                  <c:v>6.3833333333333302</c:v>
                </c:pt>
                <c:pt idx="50">
                  <c:v>2.7749999999999999</c:v>
                </c:pt>
                <c:pt idx="51">
                  <c:v>8.0805555555555504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F2-4A70-BA55-CE8767139443}"/>
            </c:ext>
          </c:extLst>
        </c:ser>
        <c:ser>
          <c:idx val="2"/>
          <c:order val="2"/>
          <c:tx>
            <c:strRef>
              <c:f>mlp_versus_sisq_pred_tickets_re!$I$3</c:f>
              <c:strCache>
                <c:ptCount val="1"/>
                <c:pt idx="0">
                  <c:v>Mlp/Sisq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mlp_versus_sisq_pred_tickets_re!$B$4:$B$55</c:f>
              <c:numCache>
                <c:formatCode>General</c:formatCode>
                <c:ptCount val="52"/>
                <c:pt idx="0">
                  <c:v>10</c:v>
                </c:pt>
                <c:pt idx="1">
                  <c:v>11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25</c:v>
                </c:pt>
                <c:pt idx="13">
                  <c:v>26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37</c:v>
                </c:pt>
                <c:pt idx="21">
                  <c:v>38</c:v>
                </c:pt>
                <c:pt idx="22">
                  <c:v>39</c:v>
                </c:pt>
                <c:pt idx="23">
                  <c:v>40</c:v>
                </c:pt>
                <c:pt idx="24">
                  <c:v>41</c:v>
                </c:pt>
                <c:pt idx="25">
                  <c:v>42</c:v>
                </c:pt>
                <c:pt idx="26">
                  <c:v>43</c:v>
                </c:pt>
                <c:pt idx="27">
                  <c:v>45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53</c:v>
                </c:pt>
                <c:pt idx="33">
                  <c:v>54</c:v>
                </c:pt>
                <c:pt idx="34">
                  <c:v>55</c:v>
                </c:pt>
                <c:pt idx="35">
                  <c:v>56</c:v>
                </c:pt>
                <c:pt idx="36">
                  <c:v>58</c:v>
                </c:pt>
                <c:pt idx="37">
                  <c:v>60</c:v>
                </c:pt>
                <c:pt idx="38">
                  <c:v>61</c:v>
                </c:pt>
                <c:pt idx="39">
                  <c:v>62</c:v>
                </c:pt>
                <c:pt idx="40">
                  <c:v>63</c:v>
                </c:pt>
                <c:pt idx="41">
                  <c:v>64</c:v>
                </c:pt>
                <c:pt idx="42">
                  <c:v>65</c:v>
                </c:pt>
                <c:pt idx="43">
                  <c:v>66</c:v>
                </c:pt>
                <c:pt idx="44">
                  <c:v>67</c:v>
                </c:pt>
                <c:pt idx="45">
                  <c:v>68</c:v>
                </c:pt>
                <c:pt idx="46">
                  <c:v>69</c:v>
                </c:pt>
                <c:pt idx="47">
                  <c:v>71</c:v>
                </c:pt>
                <c:pt idx="48">
                  <c:v>72</c:v>
                </c:pt>
                <c:pt idx="49">
                  <c:v>73</c:v>
                </c:pt>
                <c:pt idx="50">
                  <c:v>74</c:v>
                </c:pt>
                <c:pt idx="51">
                  <c:v>75</c:v>
                </c:pt>
              </c:numCache>
            </c:numRef>
          </c:cat>
          <c:val>
            <c:numRef>
              <c:f>mlp_versus_sisq_pred_tickets_re!$I$4:$I$55</c:f>
              <c:numCache>
                <c:formatCode>0.000</c:formatCode>
                <c:ptCount val="52"/>
                <c:pt idx="0">
                  <c:v>0.82793072427759595</c:v>
                </c:pt>
                <c:pt idx="1">
                  <c:v>0.85626466355177799</c:v>
                </c:pt>
                <c:pt idx="2">
                  <c:v>0.70718844819147397</c:v>
                </c:pt>
                <c:pt idx="3">
                  <c:v>0.59697952328286397</c:v>
                </c:pt>
                <c:pt idx="4">
                  <c:v>0.98799429221467605</c:v>
                </c:pt>
                <c:pt idx="5">
                  <c:v>1.3005814773583999</c:v>
                </c:pt>
                <c:pt idx="6">
                  <c:v>0.60339261260083599</c:v>
                </c:pt>
                <c:pt idx="7">
                  <c:v>0.68298360621437604</c:v>
                </c:pt>
                <c:pt idx="8">
                  <c:v>0.728656772828563</c:v>
                </c:pt>
                <c:pt idx="9">
                  <c:v>0.72029870247568895</c:v>
                </c:pt>
                <c:pt idx="10">
                  <c:v>0.84797252681767099</c:v>
                </c:pt>
                <c:pt idx="11">
                  <c:v>0.91061307511693002</c:v>
                </c:pt>
                <c:pt idx="12">
                  <c:v>0.72622186532207</c:v>
                </c:pt>
                <c:pt idx="13">
                  <c:v>0.86557249201589004</c:v>
                </c:pt>
                <c:pt idx="14">
                  <c:v>0.709461953158526</c:v>
                </c:pt>
                <c:pt idx="15">
                  <c:v>1.00340331868967</c:v>
                </c:pt>
                <c:pt idx="16">
                  <c:v>1.00631218217927</c:v>
                </c:pt>
                <c:pt idx="17">
                  <c:v>0.86823720050200204</c:v>
                </c:pt>
                <c:pt idx="18">
                  <c:v>1.0594036357544601</c:v>
                </c:pt>
                <c:pt idx="19">
                  <c:v>1.0590879870274199</c:v>
                </c:pt>
                <c:pt idx="20">
                  <c:v>0.71313187867997996</c:v>
                </c:pt>
                <c:pt idx="21">
                  <c:v>0.95579473222463596</c:v>
                </c:pt>
                <c:pt idx="22">
                  <c:v>1.1857698893953801</c:v>
                </c:pt>
                <c:pt idx="23">
                  <c:v>0.91843116345206499</c:v>
                </c:pt>
                <c:pt idx="24">
                  <c:v>0.75751455993840699</c:v>
                </c:pt>
                <c:pt idx="25">
                  <c:v>1.0516972720025499</c:v>
                </c:pt>
                <c:pt idx="26">
                  <c:v>1.17882886001294</c:v>
                </c:pt>
                <c:pt idx="27">
                  <c:v>1.0521875271707</c:v>
                </c:pt>
                <c:pt idx="28">
                  <c:v>0.82916911483108402</c:v>
                </c:pt>
                <c:pt idx="29">
                  <c:v>0.94675600836891305</c:v>
                </c:pt>
                <c:pt idx="30">
                  <c:v>1.0802347567042301</c:v>
                </c:pt>
                <c:pt idx="31">
                  <c:v>1.2887454720329301</c:v>
                </c:pt>
                <c:pt idx="32">
                  <c:v>1.10934322723039</c:v>
                </c:pt>
                <c:pt idx="33">
                  <c:v>0.98290758399592404</c:v>
                </c:pt>
                <c:pt idx="34">
                  <c:v>0.94322630171947597</c:v>
                </c:pt>
                <c:pt idx="35">
                  <c:v>0.81876030183910897</c:v>
                </c:pt>
                <c:pt idx="36">
                  <c:v>1.58265224746171</c:v>
                </c:pt>
                <c:pt idx="37">
                  <c:v>0.83419183709618905</c:v>
                </c:pt>
                <c:pt idx="38">
                  <c:v>1.0758200887321701</c:v>
                </c:pt>
                <c:pt idx="39">
                  <c:v>0.82676490449111295</c:v>
                </c:pt>
                <c:pt idx="40">
                  <c:v>0.51314169418884104</c:v>
                </c:pt>
                <c:pt idx="41">
                  <c:v>1.16964250980955</c:v>
                </c:pt>
                <c:pt idx="42">
                  <c:v>0.98896283404118601</c:v>
                </c:pt>
                <c:pt idx="43">
                  <c:v>1.42522492045588</c:v>
                </c:pt>
                <c:pt idx="44">
                  <c:v>0.88871166703177495</c:v>
                </c:pt>
                <c:pt idx="45">
                  <c:v>0.884722935032489</c:v>
                </c:pt>
                <c:pt idx="46">
                  <c:v>1.0283912143098399</c:v>
                </c:pt>
                <c:pt idx="47">
                  <c:v>0.82280084481912297</c:v>
                </c:pt>
                <c:pt idx="48">
                  <c:v>1.02414989884382</c:v>
                </c:pt>
                <c:pt idx="49">
                  <c:v>0.29789941177850698</c:v>
                </c:pt>
                <c:pt idx="50">
                  <c:v>0.82938485614024404</c:v>
                </c:pt>
                <c:pt idx="51">
                  <c:v>1.1080745927200299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F2-4A70-BA55-CE87671394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9033248"/>
        <c:axId val="1292767552"/>
      </c:lineChart>
      <c:catAx>
        <c:axId val="1539033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767552"/>
        <c:crosses val="autoZero"/>
        <c:auto val="1"/>
        <c:lblAlgn val="ctr"/>
        <c:lblOffset val="100"/>
        <c:noMultiLvlLbl val="0"/>
      </c:catAx>
      <c:valAx>
        <c:axId val="129276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03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83820</xdr:colOff>
      <xdr:row>10</xdr:row>
      <xdr:rowOff>99060</xdr:rowOff>
    </xdr:from>
    <xdr:to>
      <xdr:col>30</xdr:col>
      <xdr:colOff>304800</xdr:colOff>
      <xdr:row>45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DF8203-980E-06F9-9253-EEE1A2618F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5"/>
  <sheetViews>
    <sheetView tabSelected="1" workbookViewId="0">
      <selection activeCell="P5" sqref="P5"/>
    </sheetView>
  </sheetViews>
  <sheetFormatPr defaultRowHeight="14.4" x14ac:dyDescent="0.3"/>
  <cols>
    <col min="2" max="2" width="8.88671875" style="1"/>
    <col min="3" max="3" width="12.21875" customWidth="1"/>
    <col min="4" max="4" width="10.6640625" customWidth="1"/>
    <col min="5" max="5" width="10.44140625" customWidth="1"/>
    <col min="6" max="6" width="11.21875" customWidth="1"/>
    <col min="7" max="7" width="11" customWidth="1"/>
    <col min="8" max="8" width="10.88671875" customWidth="1"/>
    <col min="9" max="9" width="12.33203125" customWidth="1"/>
    <col min="14" max="14" width="11.33203125" customWidth="1"/>
  </cols>
  <sheetData>
    <row r="1" spans="2:14" x14ac:dyDescent="0.3">
      <c r="K1" s="2" t="s">
        <v>12</v>
      </c>
      <c r="L1" s="2"/>
      <c r="M1" s="2"/>
      <c r="N1" s="2"/>
    </row>
    <row r="2" spans="2:14" x14ac:dyDescent="0.3">
      <c r="C2" s="5" t="s">
        <v>1</v>
      </c>
      <c r="D2" s="5"/>
      <c r="E2" s="5"/>
      <c r="F2" s="5" t="s">
        <v>3</v>
      </c>
      <c r="G2" s="5"/>
      <c r="H2" s="5"/>
      <c r="I2" s="6" t="s">
        <v>2</v>
      </c>
    </row>
    <row r="3" spans="2:14" x14ac:dyDescent="0.3">
      <c r="B3" s="7" t="s">
        <v>0</v>
      </c>
      <c r="C3" s="7" t="s">
        <v>2</v>
      </c>
      <c r="D3" s="7" t="s">
        <v>4</v>
      </c>
      <c r="E3" s="7" t="s">
        <v>5</v>
      </c>
      <c r="F3" s="7" t="s">
        <v>2</v>
      </c>
      <c r="G3" s="7" t="s">
        <v>4</v>
      </c>
      <c r="H3" s="7" t="s">
        <v>5</v>
      </c>
      <c r="I3" s="7" t="s">
        <v>6</v>
      </c>
      <c r="J3" s="1"/>
      <c r="L3" s="3" t="s">
        <v>2</v>
      </c>
      <c r="M3" s="3"/>
      <c r="N3" s="3"/>
    </row>
    <row r="4" spans="2:14" x14ac:dyDescent="0.3">
      <c r="B4" s="8">
        <v>10</v>
      </c>
      <c r="C4" s="9">
        <v>7.6284617011910703</v>
      </c>
      <c r="D4" s="9">
        <v>15.107152224702199</v>
      </c>
      <c r="E4" s="9">
        <v>0.94008695007659404</v>
      </c>
      <c r="F4" s="9">
        <v>9.2138888888888797</v>
      </c>
      <c r="G4" s="9">
        <v>17.368394027978201</v>
      </c>
      <c r="H4" s="9">
        <v>0.92080905163375903</v>
      </c>
      <c r="I4" s="9">
        <v>0.82793072427759595</v>
      </c>
      <c r="L4" s="11" t="s">
        <v>1</v>
      </c>
      <c r="M4" s="11" t="s">
        <v>3</v>
      </c>
      <c r="N4" s="11" t="s">
        <v>11</v>
      </c>
    </row>
    <row r="5" spans="2:14" x14ac:dyDescent="0.3">
      <c r="B5" s="8">
        <v>11</v>
      </c>
      <c r="C5" s="9">
        <v>5.06861110563566</v>
      </c>
      <c r="D5" s="9">
        <v>9.7961135989834407</v>
      </c>
      <c r="E5" s="9">
        <v>0.96976846720665899</v>
      </c>
      <c r="F5" s="9">
        <v>5.9194444444444398</v>
      </c>
      <c r="G5" s="9">
        <v>11.208131968451299</v>
      </c>
      <c r="H5" s="9">
        <v>0.96042517404873595</v>
      </c>
      <c r="I5" s="9">
        <v>0.85626466355177799</v>
      </c>
      <c r="K5" s="4" t="s">
        <v>7</v>
      </c>
      <c r="L5" s="10">
        <f>MIN(C4:C55)</f>
        <v>1.9015912451861401</v>
      </c>
      <c r="M5" s="10">
        <f>MIN(F4:F55)</f>
        <v>2.7749999999999999</v>
      </c>
      <c r="N5" s="10">
        <f>MIN(I4:I55)</f>
        <v>0.29789941177850698</v>
      </c>
    </row>
    <row r="6" spans="2:14" x14ac:dyDescent="0.3">
      <c r="B6" s="8">
        <v>13</v>
      </c>
      <c r="C6" s="9">
        <v>6.0376213764347098</v>
      </c>
      <c r="D6" s="9">
        <v>12.0357338111221</v>
      </c>
      <c r="E6" s="9">
        <v>0.95159750274465105</v>
      </c>
      <c r="F6" s="9">
        <v>8.5374999999999996</v>
      </c>
      <c r="G6" s="9">
        <v>15.881461939422699</v>
      </c>
      <c r="H6" s="9">
        <v>0.91572406546575302</v>
      </c>
      <c r="I6" s="9">
        <v>0.70718844819147397</v>
      </c>
      <c r="K6" s="4" t="s">
        <v>8</v>
      </c>
      <c r="L6" s="10">
        <f>MAX(C4:C55)</f>
        <v>10.745697315082101</v>
      </c>
      <c r="M6" s="10">
        <f>MAX(F4:F55)</f>
        <v>13.9291666666666</v>
      </c>
      <c r="N6" s="10">
        <f>MAX(I4:I55)</f>
        <v>1.58265224746171</v>
      </c>
    </row>
    <row r="7" spans="2:14" x14ac:dyDescent="0.3">
      <c r="B7" s="8">
        <v>14</v>
      </c>
      <c r="C7" s="9">
        <v>4.7849567067575096</v>
      </c>
      <c r="D7" s="9">
        <v>9.6582618266512608</v>
      </c>
      <c r="E7" s="9">
        <v>0.95108400105889801</v>
      </c>
      <c r="F7" s="9">
        <v>8.0152777777777704</v>
      </c>
      <c r="G7" s="9">
        <v>15.4220711247801</v>
      </c>
      <c r="H7" s="9">
        <v>0.87527934550159803</v>
      </c>
      <c r="I7" s="9">
        <v>0.59697952328286397</v>
      </c>
      <c r="K7" s="4" t="s">
        <v>9</v>
      </c>
      <c r="L7" s="10">
        <f>AVERAGE(C4:C55)</f>
        <v>5.4401980063405251</v>
      </c>
      <c r="M7" s="10">
        <f>AVERAGE(F4:F55)</f>
        <v>6.1772435897435827</v>
      </c>
      <c r="N7" s="10">
        <f>AVERAGE(I4:I55)</f>
        <v>0.92656908011791062</v>
      </c>
    </row>
    <row r="8" spans="2:14" x14ac:dyDescent="0.3">
      <c r="B8" s="8">
        <v>15</v>
      </c>
      <c r="C8" s="9">
        <v>5.0867983906108396</v>
      </c>
      <c r="D8" s="9">
        <v>9.5825587518547692</v>
      </c>
      <c r="E8" s="9">
        <v>0.96491344993871997</v>
      </c>
      <c r="F8" s="9">
        <v>5.1486111111111104</v>
      </c>
      <c r="G8" s="9">
        <v>10.0630650289947</v>
      </c>
      <c r="H8" s="9">
        <v>0.96130647956860604</v>
      </c>
      <c r="I8" s="9">
        <v>0.98799429221467605</v>
      </c>
      <c r="K8" s="4" t="s">
        <v>10</v>
      </c>
      <c r="L8" s="10">
        <f>MEDIAN(C4:C55)</f>
        <v>5.2412451373954045</v>
      </c>
      <c r="M8" s="10">
        <f>MEDIAN(F4:F55)</f>
        <v>5.55972222222222</v>
      </c>
      <c r="N8" s="10">
        <f>MEDIAN(I4:I55)</f>
        <v>0.91452211928449745</v>
      </c>
    </row>
    <row r="9" spans="2:14" x14ac:dyDescent="0.3">
      <c r="B9" s="8">
        <v>16</v>
      </c>
      <c r="C9" s="9">
        <v>6.8605672930655599</v>
      </c>
      <c r="D9" s="9">
        <v>12.5441531353842</v>
      </c>
      <c r="E9" s="9">
        <v>0.90004816458746995</v>
      </c>
      <c r="F9" s="9">
        <v>5.2750000000000004</v>
      </c>
      <c r="G9" s="9">
        <v>10.316922452402601</v>
      </c>
      <c r="H9" s="9">
        <v>0.93239039298855997</v>
      </c>
      <c r="I9" s="9">
        <v>1.3005814773583999</v>
      </c>
    </row>
    <row r="10" spans="2:14" x14ac:dyDescent="0.3">
      <c r="B10" s="8">
        <v>17</v>
      </c>
      <c r="C10" s="9">
        <v>4.3025245459620702</v>
      </c>
      <c r="D10" s="9">
        <v>8.4055261910522194</v>
      </c>
      <c r="E10" s="9">
        <v>0.95521110066372705</v>
      </c>
      <c r="F10" s="9">
        <v>7.1305555555555502</v>
      </c>
      <c r="G10" s="9">
        <v>14.1499901845274</v>
      </c>
      <c r="H10" s="9">
        <v>0.87307333889789396</v>
      </c>
      <c r="I10" s="9">
        <v>0.60339261260083599</v>
      </c>
    </row>
    <row r="11" spans="2:14" x14ac:dyDescent="0.3">
      <c r="B11" s="8">
        <v>18</v>
      </c>
      <c r="C11" s="9">
        <v>6.9237463079982398</v>
      </c>
      <c r="D11" s="9">
        <v>12.853532312468399</v>
      </c>
      <c r="E11" s="9">
        <v>0.95895854545911896</v>
      </c>
      <c r="F11" s="9">
        <v>10.137499999999999</v>
      </c>
      <c r="G11" s="9">
        <v>18.184967845876301</v>
      </c>
      <c r="H11" s="9">
        <v>0.91785089584678203</v>
      </c>
      <c r="I11" s="9">
        <v>0.68298360621437604</v>
      </c>
    </row>
    <row r="12" spans="2:14" x14ac:dyDescent="0.3">
      <c r="B12" s="8">
        <v>19</v>
      </c>
      <c r="C12" s="9">
        <v>8.0789819687367004</v>
      </c>
      <c r="D12" s="9">
        <v>15.2295414656296</v>
      </c>
      <c r="E12" s="9">
        <v>0.93893749250741099</v>
      </c>
      <c r="F12" s="9">
        <v>11.0875</v>
      </c>
      <c r="G12" s="9">
        <v>21.005323399345901</v>
      </c>
      <c r="H12" s="9">
        <v>0.88383916541535601</v>
      </c>
      <c r="I12" s="9">
        <v>0.728656772828563</v>
      </c>
    </row>
    <row r="13" spans="2:14" x14ac:dyDescent="0.3">
      <c r="B13" s="8">
        <v>20</v>
      </c>
      <c r="C13" s="9">
        <v>6.8478397478417898</v>
      </c>
      <c r="D13" s="9">
        <v>13.481074177197501</v>
      </c>
      <c r="E13" s="9">
        <v>0.95248299761915201</v>
      </c>
      <c r="F13" s="9">
        <v>9.5069444444444393</v>
      </c>
      <c r="G13" s="9">
        <v>18.337537396765601</v>
      </c>
      <c r="H13" s="9">
        <v>0.91208113685783498</v>
      </c>
      <c r="I13" s="9">
        <v>0.72029870247568895</v>
      </c>
    </row>
    <row r="14" spans="2:14" x14ac:dyDescent="0.3">
      <c r="B14" s="8">
        <v>21</v>
      </c>
      <c r="C14" s="9">
        <v>4.0420023778309</v>
      </c>
      <c r="D14" s="9">
        <v>7.9360590610719504</v>
      </c>
      <c r="E14" s="9">
        <v>0.95712712882981998</v>
      </c>
      <c r="F14" s="9">
        <v>4.7666666666666604</v>
      </c>
      <c r="G14" s="9">
        <v>9.0506291985081795</v>
      </c>
      <c r="H14" s="9">
        <v>0.94423902856727904</v>
      </c>
      <c r="I14" s="9">
        <v>0.84797252681767099</v>
      </c>
    </row>
    <row r="15" spans="2:14" x14ac:dyDescent="0.3">
      <c r="B15" s="8">
        <v>22</v>
      </c>
      <c r="C15" s="9">
        <v>4.42279711622764</v>
      </c>
      <c r="D15" s="9">
        <v>8.4176399596042906</v>
      </c>
      <c r="E15" s="9">
        <v>0.91896713461113999</v>
      </c>
      <c r="F15" s="9">
        <v>4.8569444444444398</v>
      </c>
      <c r="G15" s="9">
        <v>9.2495495385811406</v>
      </c>
      <c r="H15" s="9">
        <v>0.90215882279269399</v>
      </c>
      <c r="I15" s="9">
        <v>0.91061307511693002</v>
      </c>
    </row>
    <row r="16" spans="2:14" x14ac:dyDescent="0.3">
      <c r="B16" s="8">
        <v>25</v>
      </c>
      <c r="C16" s="9">
        <v>4.6226039010709004</v>
      </c>
      <c r="D16" s="9">
        <v>8.7837591926804599</v>
      </c>
      <c r="E16" s="9">
        <v>0.95481809979612597</v>
      </c>
      <c r="F16" s="9">
        <v>6.36527777777777</v>
      </c>
      <c r="G16" s="9">
        <v>13.3094056132412</v>
      </c>
      <c r="H16" s="9">
        <v>0.89626603665221005</v>
      </c>
      <c r="I16" s="9">
        <v>0.72622186532207</v>
      </c>
    </row>
    <row r="17" spans="2:9" x14ac:dyDescent="0.3">
      <c r="B17" s="8">
        <v>26</v>
      </c>
      <c r="C17" s="9">
        <v>5.3713581865652698</v>
      </c>
      <c r="D17" s="9">
        <v>10.2661517068068</v>
      </c>
      <c r="E17" s="9">
        <v>0.92223327620560902</v>
      </c>
      <c r="F17" s="9">
        <v>6.2055555555555504</v>
      </c>
      <c r="G17" s="9">
        <v>11.397489977086</v>
      </c>
      <c r="H17" s="9">
        <v>0.90414894759582198</v>
      </c>
      <c r="I17" s="9">
        <v>0.86557249201589004</v>
      </c>
    </row>
    <row r="18" spans="2:9" x14ac:dyDescent="0.3">
      <c r="B18" s="8">
        <v>30</v>
      </c>
      <c r="C18" s="9">
        <v>3.6399339652327698</v>
      </c>
      <c r="D18" s="9">
        <v>7.0057136738150998</v>
      </c>
      <c r="E18" s="9">
        <v>0.93551228949544796</v>
      </c>
      <c r="F18" s="9">
        <v>5.1305555555555502</v>
      </c>
      <c r="G18" s="9">
        <v>9.6689652439590894</v>
      </c>
      <c r="H18" s="9">
        <v>0.87716215476390802</v>
      </c>
      <c r="I18" s="9">
        <v>0.709461953158526</v>
      </c>
    </row>
    <row r="19" spans="2:9" x14ac:dyDescent="0.3">
      <c r="B19" s="8">
        <v>31</v>
      </c>
      <c r="C19" s="9">
        <v>6.8942169688302801</v>
      </c>
      <c r="D19" s="9">
        <v>12.9633061806292</v>
      </c>
      <c r="E19" s="9">
        <v>0.95340121834696101</v>
      </c>
      <c r="F19" s="9">
        <v>6.87083333333333</v>
      </c>
      <c r="G19" s="9">
        <v>13.372910013240199</v>
      </c>
      <c r="H19" s="9">
        <v>0.95040991542796605</v>
      </c>
      <c r="I19" s="9">
        <v>1.00340331868967</v>
      </c>
    </row>
    <row r="20" spans="2:9" x14ac:dyDescent="0.3">
      <c r="B20" s="8">
        <v>32</v>
      </c>
      <c r="C20" s="9">
        <v>3.1279536996072399</v>
      </c>
      <c r="D20" s="9">
        <v>6.1117238029647201</v>
      </c>
      <c r="E20" s="9">
        <v>0.94133662794764394</v>
      </c>
      <c r="F20" s="9">
        <v>3.1083333333333298</v>
      </c>
      <c r="G20" s="9">
        <v>6.1103282326820301</v>
      </c>
      <c r="H20" s="9">
        <v>0.94136341564756598</v>
      </c>
      <c r="I20" s="9">
        <v>1.00631218217927</v>
      </c>
    </row>
    <row r="21" spans="2:9" x14ac:dyDescent="0.3">
      <c r="B21" s="8">
        <v>33</v>
      </c>
      <c r="C21" s="9">
        <v>6.94107406401322</v>
      </c>
      <c r="D21" s="9">
        <v>12.824808120063</v>
      </c>
      <c r="E21" s="9">
        <v>0.95525738851530495</v>
      </c>
      <c r="F21" s="9">
        <v>7.99444444444444</v>
      </c>
      <c r="G21" s="9">
        <v>15.707835977979601</v>
      </c>
      <c r="H21" s="9">
        <v>0.93287994678794695</v>
      </c>
      <c r="I21" s="9">
        <v>0.86823720050200204</v>
      </c>
    </row>
    <row r="22" spans="2:9" x14ac:dyDescent="0.3">
      <c r="B22" s="8">
        <v>34</v>
      </c>
      <c r="C22" s="9">
        <v>4.3847539368726496</v>
      </c>
      <c r="D22" s="9">
        <v>8.5940752152273792</v>
      </c>
      <c r="E22" s="9">
        <v>0.96506505382970498</v>
      </c>
      <c r="F22" s="9">
        <v>4.1388888888888804</v>
      </c>
      <c r="G22" s="9">
        <v>7.8993670632525896</v>
      </c>
      <c r="H22" s="9">
        <v>0.97048475670454204</v>
      </c>
      <c r="I22" s="9">
        <v>1.0594036357544601</v>
      </c>
    </row>
    <row r="23" spans="2:9" x14ac:dyDescent="0.3">
      <c r="B23" s="8">
        <v>35</v>
      </c>
      <c r="C23" s="9">
        <v>6.3015735228131398</v>
      </c>
      <c r="D23" s="9">
        <v>11.661259510343401</v>
      </c>
      <c r="E23" s="9">
        <v>0.93944707364796998</v>
      </c>
      <c r="F23" s="9">
        <v>5.95</v>
      </c>
      <c r="G23" s="9">
        <v>11.4387256477478</v>
      </c>
      <c r="H23" s="9">
        <v>0.94173610648435102</v>
      </c>
      <c r="I23" s="9">
        <v>1.0590879870274199</v>
      </c>
    </row>
    <row r="24" spans="2:9" x14ac:dyDescent="0.3">
      <c r="B24" s="8">
        <v>37</v>
      </c>
      <c r="C24" s="9">
        <v>9.9333327934465494</v>
      </c>
      <c r="D24" s="9">
        <v>18.808775213792298</v>
      </c>
      <c r="E24" s="9">
        <v>0.95673659233106201</v>
      </c>
      <c r="F24" s="9">
        <v>13.9291666666666</v>
      </c>
      <c r="G24" s="9">
        <v>26.4064649070807</v>
      </c>
      <c r="H24" s="9">
        <v>0.91472529575688999</v>
      </c>
      <c r="I24" s="9">
        <v>0.71313187867997996</v>
      </c>
    </row>
    <row r="25" spans="2:9" x14ac:dyDescent="0.3">
      <c r="B25" s="8">
        <v>38</v>
      </c>
      <c r="C25" s="9">
        <v>3.6174175629335101</v>
      </c>
      <c r="D25" s="9">
        <v>7.3215266608078098</v>
      </c>
      <c r="E25" s="9">
        <v>0.94914520471423303</v>
      </c>
      <c r="F25" s="9">
        <v>3.7847222222222201</v>
      </c>
      <c r="G25" s="9">
        <v>7.3806240326351196</v>
      </c>
      <c r="H25" s="9">
        <v>0.94832091923113104</v>
      </c>
      <c r="I25" s="9">
        <v>0.95579473222463596</v>
      </c>
    </row>
    <row r="26" spans="2:9" x14ac:dyDescent="0.3">
      <c r="B26" s="8">
        <v>39</v>
      </c>
      <c r="C26" s="9">
        <v>6.1643565222318202</v>
      </c>
      <c r="D26" s="9">
        <v>11.8607686295326</v>
      </c>
      <c r="E26" s="9">
        <v>0.940662139689451</v>
      </c>
      <c r="F26" s="9">
        <v>5.1986111111111102</v>
      </c>
      <c r="G26" s="9">
        <v>10.5106427544233</v>
      </c>
      <c r="H26" s="9">
        <v>0.95340226965118402</v>
      </c>
      <c r="I26" s="9">
        <v>1.1857698893953801</v>
      </c>
    </row>
    <row r="27" spans="2:9" x14ac:dyDescent="0.3">
      <c r="B27" s="8">
        <v>40</v>
      </c>
      <c r="C27" s="9">
        <v>5.3677199108420703</v>
      </c>
      <c r="D27" s="9">
        <v>9.9922123822535696</v>
      </c>
      <c r="E27" s="9">
        <v>0.96769231455063698</v>
      </c>
      <c r="F27" s="9">
        <v>5.8444444444444397</v>
      </c>
      <c r="G27" s="9">
        <v>10.9903998511832</v>
      </c>
      <c r="H27" s="9">
        <v>0.96091505369955499</v>
      </c>
      <c r="I27" s="9">
        <v>0.91843116345206499</v>
      </c>
    </row>
    <row r="28" spans="2:9" x14ac:dyDescent="0.3">
      <c r="B28" s="8">
        <v>41</v>
      </c>
      <c r="C28" s="9">
        <v>7.5362177678316797</v>
      </c>
      <c r="D28" s="9">
        <v>14.179531328976999</v>
      </c>
      <c r="E28" s="9">
        <v>0.93008830483978799</v>
      </c>
      <c r="F28" s="9">
        <v>9.9486111111111093</v>
      </c>
      <c r="G28" s="9">
        <v>17.490830931281302</v>
      </c>
      <c r="H28" s="9">
        <v>0.89362318982759403</v>
      </c>
      <c r="I28" s="9">
        <v>0.75751455993840699</v>
      </c>
    </row>
    <row r="29" spans="2:9" x14ac:dyDescent="0.3">
      <c r="B29" s="8">
        <v>42</v>
      </c>
      <c r="C29" s="9">
        <v>4.7676942997449299</v>
      </c>
      <c r="D29" s="9">
        <v>9.6629547739140609</v>
      </c>
      <c r="E29" s="9">
        <v>0.94996233714429101</v>
      </c>
      <c r="F29" s="9">
        <v>4.5333333333333297</v>
      </c>
      <c r="G29" s="9">
        <v>8.8526518311997595</v>
      </c>
      <c r="H29" s="9">
        <v>0.95800245627625402</v>
      </c>
      <c r="I29" s="9">
        <v>1.0516972720025499</v>
      </c>
    </row>
    <row r="30" spans="2:9" x14ac:dyDescent="0.3">
      <c r="B30" s="8">
        <v>43</v>
      </c>
      <c r="C30" s="9">
        <v>5.5454074289775503</v>
      </c>
      <c r="D30" s="9">
        <v>10.8495810138953</v>
      </c>
      <c r="E30" s="9">
        <v>0.95375920904131495</v>
      </c>
      <c r="F30" s="9">
        <v>4.7041666666666604</v>
      </c>
      <c r="G30" s="9">
        <v>9.0556152008942306</v>
      </c>
      <c r="H30" s="9">
        <v>0.96778669832692099</v>
      </c>
      <c r="I30" s="9">
        <v>1.17882886001294</v>
      </c>
    </row>
    <row r="31" spans="2:9" x14ac:dyDescent="0.3">
      <c r="B31" s="8">
        <v>45</v>
      </c>
      <c r="C31" s="9">
        <v>4.9204380610885403</v>
      </c>
      <c r="D31" s="9">
        <v>9.3528861312559606</v>
      </c>
      <c r="E31" s="9">
        <v>0.92607420471175395</v>
      </c>
      <c r="F31" s="9">
        <v>4.67638888888888</v>
      </c>
      <c r="G31" s="9">
        <v>9.18581333724274</v>
      </c>
      <c r="H31" s="9">
        <v>0.92869172291769297</v>
      </c>
      <c r="I31" s="9">
        <v>1.0521875271707</v>
      </c>
    </row>
    <row r="32" spans="2:9" x14ac:dyDescent="0.3">
      <c r="B32" s="8">
        <v>49</v>
      </c>
      <c r="C32" s="9">
        <v>5.2548592652419899</v>
      </c>
      <c r="D32" s="9">
        <v>10.4319101807734</v>
      </c>
      <c r="E32" s="9">
        <v>0.95727983060872701</v>
      </c>
      <c r="F32" s="9">
        <v>6.3375000000000004</v>
      </c>
      <c r="G32" s="9">
        <v>12.0957407563342</v>
      </c>
      <c r="H32" s="9">
        <v>0.94256584601707505</v>
      </c>
      <c r="I32" s="9">
        <v>0.82916911483108402</v>
      </c>
    </row>
    <row r="33" spans="2:9" x14ac:dyDescent="0.3">
      <c r="B33" s="8">
        <v>50</v>
      </c>
      <c r="C33" s="9">
        <v>3.39254236332193</v>
      </c>
      <c r="D33" s="9">
        <v>6.4405296191162602</v>
      </c>
      <c r="E33" s="9">
        <v>0.96260267995650195</v>
      </c>
      <c r="F33" s="9">
        <v>3.5833333333333299</v>
      </c>
      <c r="G33" s="9">
        <v>6.9167670675443897</v>
      </c>
      <c r="H33" s="9">
        <v>0.95686760058842102</v>
      </c>
      <c r="I33" s="9">
        <v>0.94675600836891305</v>
      </c>
    </row>
    <row r="34" spans="2:9" x14ac:dyDescent="0.3">
      <c r="B34" s="8">
        <v>51</v>
      </c>
      <c r="C34" s="9">
        <v>5.3441613935840202</v>
      </c>
      <c r="D34" s="9">
        <v>10.203246869729799</v>
      </c>
      <c r="E34" s="9">
        <v>0.95139747148512099</v>
      </c>
      <c r="F34" s="9">
        <v>4.9472222222222202</v>
      </c>
      <c r="G34" s="9">
        <v>9.4698351505069898</v>
      </c>
      <c r="H34" s="9">
        <v>0.95813347526783899</v>
      </c>
      <c r="I34" s="9">
        <v>1.0802347567042301</v>
      </c>
    </row>
    <row r="35" spans="2:9" x14ac:dyDescent="0.3">
      <c r="B35" s="8">
        <v>52</v>
      </c>
      <c r="C35" s="9">
        <v>6.0517339457546599</v>
      </c>
      <c r="D35" s="9">
        <v>11.2904366818714</v>
      </c>
      <c r="E35" s="9">
        <v>0.88445867647909904</v>
      </c>
      <c r="F35" s="9">
        <v>4.6958333333333302</v>
      </c>
      <c r="G35" s="9">
        <v>9.1794607684765399</v>
      </c>
      <c r="H35" s="9">
        <v>0.92362518009571304</v>
      </c>
      <c r="I35" s="9">
        <v>1.2887454720329301</v>
      </c>
    </row>
    <row r="36" spans="2:9" x14ac:dyDescent="0.3">
      <c r="B36" s="8">
        <v>53</v>
      </c>
      <c r="C36" s="9">
        <v>3.4589938126836599</v>
      </c>
      <c r="D36" s="9">
        <v>6.8782069810274002</v>
      </c>
      <c r="E36" s="9">
        <v>0.94658684648409597</v>
      </c>
      <c r="F36" s="9">
        <v>3.11805555555555</v>
      </c>
      <c r="G36" s="9">
        <v>5.9732040536605302</v>
      </c>
      <c r="H36" s="9">
        <v>0.95971786870961495</v>
      </c>
      <c r="I36" s="9">
        <v>1.10934322723039</v>
      </c>
    </row>
    <row r="37" spans="2:9" x14ac:dyDescent="0.3">
      <c r="B37" s="8">
        <v>54</v>
      </c>
      <c r="C37" s="9">
        <v>4.1664360366049404</v>
      </c>
      <c r="D37" s="9">
        <v>8.2602962014355299</v>
      </c>
      <c r="E37" s="9">
        <v>0.92215294467836695</v>
      </c>
      <c r="F37" s="9">
        <v>4.23888888888888</v>
      </c>
      <c r="G37" s="9">
        <v>8.4297752704986806</v>
      </c>
      <c r="H37" s="9">
        <v>0.91892574963240803</v>
      </c>
      <c r="I37" s="9">
        <v>0.98290758399592404</v>
      </c>
    </row>
    <row r="38" spans="2:9" x14ac:dyDescent="0.3">
      <c r="B38" s="8">
        <v>55</v>
      </c>
      <c r="C38" s="9">
        <v>6.7283476189322604</v>
      </c>
      <c r="D38" s="9">
        <v>13.0158784753565</v>
      </c>
      <c r="E38" s="9">
        <v>0.93694687986827496</v>
      </c>
      <c r="F38" s="9">
        <v>7.1333333333333302</v>
      </c>
      <c r="G38" s="9">
        <v>14.0037693338456</v>
      </c>
      <c r="H38" s="9">
        <v>0.92701232843606995</v>
      </c>
      <c r="I38" s="9">
        <v>0.94322630171947597</v>
      </c>
    </row>
    <row r="39" spans="2:9" x14ac:dyDescent="0.3">
      <c r="B39" s="8">
        <v>56</v>
      </c>
      <c r="C39" s="9">
        <v>5.6790124269229301</v>
      </c>
      <c r="D39" s="9">
        <v>10.389565532961999</v>
      </c>
      <c r="E39" s="9">
        <v>0.92502276317589904</v>
      </c>
      <c r="F39" s="9">
        <v>6.93611111111111</v>
      </c>
      <c r="G39" s="9">
        <v>12.9081154489896</v>
      </c>
      <c r="H39" s="9">
        <v>0.88426616624538001</v>
      </c>
      <c r="I39" s="9">
        <v>0.81876030183910897</v>
      </c>
    </row>
    <row r="40" spans="2:9" x14ac:dyDescent="0.3">
      <c r="B40" s="8">
        <v>58</v>
      </c>
      <c r="C40" s="9">
        <v>6.1745418932221501</v>
      </c>
      <c r="D40" s="9">
        <v>12.5382178272912</v>
      </c>
      <c r="E40" s="9">
        <v>0.906613987788638</v>
      </c>
      <c r="F40" s="9">
        <v>3.9013888888888801</v>
      </c>
      <c r="G40" s="9">
        <v>7.5017590529747604</v>
      </c>
      <c r="H40" s="9">
        <v>0.96656999578329705</v>
      </c>
      <c r="I40" s="9">
        <v>1.58265224746171</v>
      </c>
    </row>
    <row r="41" spans="2:9" x14ac:dyDescent="0.3">
      <c r="B41" s="8">
        <v>60</v>
      </c>
      <c r="C41" s="9">
        <v>5.1673549909013898</v>
      </c>
      <c r="D41" s="9">
        <v>9.5313283797874</v>
      </c>
      <c r="E41" s="9">
        <v>0.95448992428433299</v>
      </c>
      <c r="F41" s="9">
        <v>6.1944444444444402</v>
      </c>
      <c r="G41" s="9">
        <v>11.622177076606601</v>
      </c>
      <c r="H41" s="9">
        <v>0.93233319524957403</v>
      </c>
      <c r="I41" s="9">
        <v>0.83419183709618905</v>
      </c>
    </row>
    <row r="42" spans="2:9" x14ac:dyDescent="0.3">
      <c r="B42" s="8">
        <v>61</v>
      </c>
      <c r="C42" s="9">
        <v>5.6002412396780503</v>
      </c>
      <c r="D42" s="9">
        <v>10.798298850754</v>
      </c>
      <c r="E42" s="9">
        <v>0.94464578428923496</v>
      </c>
      <c r="F42" s="9">
        <v>5.2055555555555504</v>
      </c>
      <c r="G42" s="9">
        <v>10.286587815640701</v>
      </c>
      <c r="H42" s="9">
        <v>0.94976774296285604</v>
      </c>
      <c r="I42" s="9">
        <v>1.0758200887321701</v>
      </c>
    </row>
    <row r="43" spans="2:9" x14ac:dyDescent="0.3">
      <c r="B43" s="8">
        <v>62</v>
      </c>
      <c r="C43" s="9">
        <v>5.1535012379946004</v>
      </c>
      <c r="D43" s="9">
        <v>10.1903499404096</v>
      </c>
      <c r="E43" s="9">
        <v>0.91509581042371502</v>
      </c>
      <c r="F43" s="9">
        <v>6.2333333333333298</v>
      </c>
      <c r="G43" s="9">
        <v>12.358083274610999</v>
      </c>
      <c r="H43" s="9">
        <v>0.87513142387985299</v>
      </c>
      <c r="I43" s="9">
        <v>0.82676490449111295</v>
      </c>
    </row>
    <row r="44" spans="2:9" x14ac:dyDescent="0.3">
      <c r="B44" s="8">
        <v>63</v>
      </c>
      <c r="C44" s="9">
        <v>5.2276310095488201</v>
      </c>
      <c r="D44" s="9">
        <v>10.208828675088601</v>
      </c>
      <c r="E44" s="9">
        <v>0.96574738544802097</v>
      </c>
      <c r="F44" s="9">
        <v>10.1875</v>
      </c>
      <c r="G44" s="9">
        <v>19.339259149317002</v>
      </c>
      <c r="H44" s="9">
        <v>0.87708027994939397</v>
      </c>
      <c r="I44" s="9">
        <v>0.51314169418884104</v>
      </c>
    </row>
    <row r="45" spans="2:9" x14ac:dyDescent="0.3">
      <c r="B45" s="8">
        <v>64</v>
      </c>
      <c r="C45" s="9">
        <v>5.7523668433828101</v>
      </c>
      <c r="D45" s="9">
        <v>10.863303944121901</v>
      </c>
      <c r="E45" s="9">
        <v>0.90929273472043104</v>
      </c>
      <c r="F45" s="9">
        <v>4.9180555555555499</v>
      </c>
      <c r="G45" s="9">
        <v>10.2462052596179</v>
      </c>
      <c r="H45" s="9">
        <v>0.91930542929440295</v>
      </c>
      <c r="I45" s="9">
        <v>1.16964250980955</v>
      </c>
    </row>
    <row r="46" spans="2:9" x14ac:dyDescent="0.3">
      <c r="B46" s="8">
        <v>65</v>
      </c>
      <c r="C46" s="9">
        <v>6.1549200824146597</v>
      </c>
      <c r="D46" s="9">
        <v>11.787291053529801</v>
      </c>
      <c r="E46" s="9">
        <v>0.947159272680552</v>
      </c>
      <c r="F46" s="9">
        <v>6.2236111111111097</v>
      </c>
      <c r="G46" s="9">
        <v>12.2352518931523</v>
      </c>
      <c r="H46" s="9">
        <v>0.94306666796254601</v>
      </c>
      <c r="I46" s="9">
        <v>0.98896283404118601</v>
      </c>
    </row>
    <row r="47" spans="2:9" x14ac:dyDescent="0.3">
      <c r="B47" s="8">
        <v>66</v>
      </c>
      <c r="C47" s="9">
        <v>5.1407071089221299</v>
      </c>
      <c r="D47" s="9">
        <v>9.6302208933180697</v>
      </c>
      <c r="E47" s="9">
        <v>0.92148065969538895</v>
      </c>
      <c r="F47" s="9">
        <v>3.6069444444444398</v>
      </c>
      <c r="G47" s="9">
        <v>7.0954797817577697</v>
      </c>
      <c r="H47" s="9">
        <v>0.95737467746990601</v>
      </c>
      <c r="I47" s="9">
        <v>1.42522492045588</v>
      </c>
    </row>
    <row r="48" spans="2:9" x14ac:dyDescent="0.3">
      <c r="B48" s="8">
        <v>67</v>
      </c>
      <c r="C48" s="9">
        <v>2.8352370821833102</v>
      </c>
      <c r="D48" s="9">
        <v>5.4183896533417704</v>
      </c>
      <c r="E48" s="9">
        <v>0.94966630224077797</v>
      </c>
      <c r="F48" s="9">
        <v>3.1902777777777702</v>
      </c>
      <c r="G48" s="9">
        <v>6.1251984094848302</v>
      </c>
      <c r="H48" s="9">
        <v>0.93567812547362395</v>
      </c>
      <c r="I48" s="9">
        <v>0.88871166703177495</v>
      </c>
    </row>
    <row r="49" spans="2:9" x14ac:dyDescent="0.3">
      <c r="B49" s="8">
        <v>68</v>
      </c>
      <c r="C49" s="9">
        <v>10.745697315082101</v>
      </c>
      <c r="D49" s="9">
        <v>21.165724922043001</v>
      </c>
      <c r="E49" s="9">
        <v>0.91458947340138896</v>
      </c>
      <c r="F49" s="9">
        <v>12.1458333333333</v>
      </c>
      <c r="G49" s="9">
        <v>25.906053561110198</v>
      </c>
      <c r="H49" s="9">
        <v>0.87204783975318401</v>
      </c>
      <c r="I49" s="9">
        <v>0.884722935032489</v>
      </c>
    </row>
    <row r="50" spans="2:9" x14ac:dyDescent="0.3">
      <c r="B50" s="8">
        <v>69</v>
      </c>
      <c r="C50" s="9">
        <v>3.72077654621825</v>
      </c>
      <c r="D50" s="9">
        <v>7.0591007752818502</v>
      </c>
      <c r="E50" s="9">
        <v>0.94592380807927601</v>
      </c>
      <c r="F50" s="9">
        <v>3.61805555555555</v>
      </c>
      <c r="G50" s="9">
        <v>7.1356888634213496</v>
      </c>
      <c r="H50" s="9">
        <v>0.94474403759647496</v>
      </c>
      <c r="I50" s="9">
        <v>1.0283912143098399</v>
      </c>
    </row>
    <row r="51" spans="2:9" x14ac:dyDescent="0.3">
      <c r="B51" s="8">
        <v>71</v>
      </c>
      <c r="C51" s="9">
        <v>4.2968488562776397</v>
      </c>
      <c r="D51" s="9">
        <v>8.3423659437722204</v>
      </c>
      <c r="E51" s="9">
        <v>0.95857326571139401</v>
      </c>
      <c r="F51" s="9">
        <v>5.2222222222222197</v>
      </c>
      <c r="G51" s="9">
        <v>9.8010770383214005</v>
      </c>
      <c r="H51" s="9">
        <v>0.94281925211394702</v>
      </c>
      <c r="I51" s="9">
        <v>0.82280084481912297</v>
      </c>
    </row>
    <row r="52" spans="2:9" x14ac:dyDescent="0.3">
      <c r="B52" s="8">
        <v>72</v>
      </c>
      <c r="C52" s="9">
        <v>4.4664315032911102</v>
      </c>
      <c r="D52" s="9">
        <v>8.7776595862803504</v>
      </c>
      <c r="E52" s="9">
        <v>0.95795300939081196</v>
      </c>
      <c r="F52" s="9">
        <v>4.3611111111111098</v>
      </c>
      <c r="G52" s="9">
        <v>8.6781974574856893</v>
      </c>
      <c r="H52" s="9">
        <v>0.95890050319009701</v>
      </c>
      <c r="I52" s="9">
        <v>1.02414989884382</v>
      </c>
    </row>
    <row r="53" spans="2:9" x14ac:dyDescent="0.3">
      <c r="B53" s="8">
        <v>73</v>
      </c>
      <c r="C53" s="9">
        <v>1.9015912451861401</v>
      </c>
      <c r="D53" s="9">
        <v>3.9638643530176698</v>
      </c>
      <c r="E53" s="9">
        <v>0.92671894866511395</v>
      </c>
      <c r="F53" s="9">
        <v>6.3833333333333302</v>
      </c>
      <c r="G53" s="9">
        <v>12.1217206332727</v>
      </c>
      <c r="H53" s="9">
        <v>0.31469695028155498</v>
      </c>
      <c r="I53" s="9">
        <v>0.29789941177850698</v>
      </c>
    </row>
    <row r="54" spans="2:9" x14ac:dyDescent="0.3">
      <c r="B54" s="8">
        <v>74</v>
      </c>
      <c r="C54" s="9">
        <v>2.3015429757891699</v>
      </c>
      <c r="D54" s="9">
        <v>4.7603907710086002</v>
      </c>
      <c r="E54" s="9">
        <v>0.94294820585767003</v>
      </c>
      <c r="F54" s="9">
        <v>2.7749999999999999</v>
      </c>
      <c r="G54" s="9">
        <v>5.6129809865663596</v>
      </c>
      <c r="H54" s="9">
        <v>0.92068209412873403</v>
      </c>
      <c r="I54" s="9">
        <v>0.82938485614024404</v>
      </c>
    </row>
    <row r="55" spans="2:9" x14ac:dyDescent="0.3">
      <c r="B55" s="8">
        <v>75</v>
      </c>
      <c r="C55" s="9">
        <v>8.9538583061738404</v>
      </c>
      <c r="D55" s="9">
        <v>18.350051868782401</v>
      </c>
      <c r="E55" s="9">
        <v>0.84139108837151999</v>
      </c>
      <c r="F55" s="9">
        <v>8.0805555555555504</v>
      </c>
      <c r="G55" s="9">
        <v>16.3333333333333</v>
      </c>
      <c r="H55" s="9">
        <v>0.87433838317256296</v>
      </c>
      <c r="I55" s="9">
        <v>1.1080745927200299</v>
      </c>
    </row>
  </sheetData>
  <mergeCells count="4">
    <mergeCell ref="C2:E2"/>
    <mergeCell ref="F2:H2"/>
    <mergeCell ref="L3:N3"/>
    <mergeCell ref="K1:N1"/>
  </mergeCells>
  <conditionalFormatting sqref="I4:I55">
    <cfRule type="cellIs" dxfId="0" priority="1" operator="greaterThan">
      <formula>1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mlp_versus_sisq_pred_tickets_re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2023-05-04T06:31:07Z</dcterms:created>
  <dcterms:modified xsi:type="dcterms:W3CDTF">2023-05-04T07:05:58Z</dcterms:modified>
</cp:coreProperties>
</file>