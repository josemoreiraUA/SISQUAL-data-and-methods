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pred_forecast_and_sizing_together\results\"/>
    </mc:Choice>
  </mc:AlternateContent>
  <xr:revisionPtr revIDLastSave="0" documentId="13_ncr:40009_{FC107E1C-6C4A-43FC-BED3-650554053739}" xr6:coauthVersionLast="47" xr6:coauthVersionMax="47" xr10:uidLastSave="{00000000-0000-0000-0000-000000000000}"/>
  <bookViews>
    <workbookView xWindow="-108" yWindow="-108" windowWidth="23256" windowHeight="13176"/>
  </bookViews>
  <sheets>
    <sheet name="tickets_test_result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N5" i="1" l="1"/>
  <c r="M5" i="1"/>
  <c r="L5" i="1"/>
  <c r="N8" i="1"/>
  <c r="M8" i="1"/>
  <c r="L8" i="1"/>
  <c r="N7" i="1"/>
  <c r="M7" i="1"/>
  <c r="L7" i="1"/>
  <c r="N6" i="1"/>
  <c r="M6" i="1"/>
  <c r="L6" i="1"/>
</calcChain>
</file>

<file path=xl/sharedStrings.xml><?xml version="1.0" encoding="utf-8"?>
<sst xmlns="http://schemas.openxmlformats.org/spreadsheetml/2006/main" count="20" uniqueCount="13">
  <si>
    <t>Store ID</t>
  </si>
  <si>
    <t>MLP</t>
  </si>
  <si>
    <t>SISQ</t>
  </si>
  <si>
    <t>MAE</t>
  </si>
  <si>
    <t>MSE</t>
  </si>
  <si>
    <t>R2</t>
  </si>
  <si>
    <t>Mlp/Sisq</t>
  </si>
  <si>
    <t>MLP/SISQ</t>
  </si>
  <si>
    <t>Min</t>
  </si>
  <si>
    <t>Max</t>
  </si>
  <si>
    <t>Mean</t>
  </si>
  <si>
    <t>Median</t>
  </si>
  <si>
    <t>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</si>
</sst>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/>
    <xf numFmtId="0" fontId="16" fillId="0" borderId="11" xfId="0" applyFont="1" applyBorder="1" applyAlignment="1">
      <alignment horizontal="center"/>
    </xf>
    <xf numFmtId="0" fontId="16" fillId="0" borderId="11" xfId="0" applyFont="1" applyBorder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0" xfId="0" applyFont="1" applyBorder="1"/>
    <xf numFmtId="2" fontId="0" fillId="0" borderId="10" xfId="0" applyNumberFormat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Tickets Forecast Comparison 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tickets_test_results!$C$2</c:f>
              <c:strCache>
                <c:ptCount val="1"/>
                <c:pt idx="0">
                  <c:v>MLP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tickets_test_results!$B$4:$B$55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tickets_test_results!$C$4:$C$55</c:f>
              <c:numCache>
                <c:formatCode>0.000</c:formatCode>
                <c:ptCount val="52"/>
                <c:pt idx="0">
                  <c:v>8.1635439838726995</c:v>
                </c:pt>
                <c:pt idx="1">
                  <c:v>5.6304680642265703</c:v>
                </c:pt>
                <c:pt idx="2">
                  <c:v>6.0716761040175298</c:v>
                </c:pt>
                <c:pt idx="3">
                  <c:v>4.1149723066822004</c:v>
                </c:pt>
                <c:pt idx="4">
                  <c:v>4.8408562750964403</c:v>
                </c:pt>
                <c:pt idx="5">
                  <c:v>4.8515105988575602</c:v>
                </c:pt>
                <c:pt idx="6">
                  <c:v>4.1462857861853397</c:v>
                </c:pt>
                <c:pt idx="7">
                  <c:v>6.1458029632958198</c:v>
                </c:pt>
                <c:pt idx="8">
                  <c:v>7.8604106005752099</c:v>
                </c:pt>
                <c:pt idx="9">
                  <c:v>6.8461946189298697</c:v>
                </c:pt>
                <c:pt idx="10">
                  <c:v>3.92369749417306</c:v>
                </c:pt>
                <c:pt idx="11">
                  <c:v>6.1338048337006397</c:v>
                </c:pt>
                <c:pt idx="12">
                  <c:v>4.30625075665594</c:v>
                </c:pt>
                <c:pt idx="13">
                  <c:v>5.1505872185486199</c:v>
                </c:pt>
                <c:pt idx="14">
                  <c:v>4.1061218549851199</c:v>
                </c:pt>
                <c:pt idx="15">
                  <c:v>8.3928144630609793</c:v>
                </c:pt>
                <c:pt idx="16">
                  <c:v>3.4050545234070602</c:v>
                </c:pt>
                <c:pt idx="17">
                  <c:v>7.3970612024235001</c:v>
                </c:pt>
                <c:pt idx="18">
                  <c:v>4.8096826749623602</c:v>
                </c:pt>
                <c:pt idx="19">
                  <c:v>6.2377009594717299</c:v>
                </c:pt>
                <c:pt idx="20">
                  <c:v>11.1189763805589</c:v>
                </c:pt>
                <c:pt idx="21">
                  <c:v>4.2403151704566904</c:v>
                </c:pt>
                <c:pt idx="22">
                  <c:v>6.3557346026439099</c:v>
                </c:pt>
                <c:pt idx="23">
                  <c:v>5.8668709804691801</c:v>
                </c:pt>
                <c:pt idx="24">
                  <c:v>6.9541271747401199</c:v>
                </c:pt>
                <c:pt idx="25">
                  <c:v>4.7227270648461603</c:v>
                </c:pt>
                <c:pt idx="26">
                  <c:v>7.7516935611429396</c:v>
                </c:pt>
                <c:pt idx="27">
                  <c:v>3.83538704835619</c:v>
                </c:pt>
                <c:pt idx="28">
                  <c:v>6.7223474463833597</c:v>
                </c:pt>
                <c:pt idx="29">
                  <c:v>3.75922481035935</c:v>
                </c:pt>
                <c:pt idx="30">
                  <c:v>4.8255507773403803</c:v>
                </c:pt>
                <c:pt idx="31">
                  <c:v>6.9289519696333803</c:v>
                </c:pt>
                <c:pt idx="32">
                  <c:v>3.3666367715180301</c:v>
                </c:pt>
                <c:pt idx="33">
                  <c:v>3.5932186814955802</c:v>
                </c:pt>
                <c:pt idx="34">
                  <c:v>6.3383317449375403</c:v>
                </c:pt>
                <c:pt idx="35">
                  <c:v>5.7623841063235703</c:v>
                </c:pt>
                <c:pt idx="36">
                  <c:v>6.8386637248882201</c:v>
                </c:pt>
                <c:pt idx="37">
                  <c:v>5.7011594405548403</c:v>
                </c:pt>
                <c:pt idx="38">
                  <c:v>5.8521355932542596</c:v>
                </c:pt>
                <c:pt idx="39">
                  <c:v>4.5969153750775602</c:v>
                </c:pt>
                <c:pt idx="40">
                  <c:v>6.0291346589471297</c:v>
                </c:pt>
                <c:pt idx="41">
                  <c:v>6.0936855323804799</c:v>
                </c:pt>
                <c:pt idx="42">
                  <c:v>6.0193912603061497</c:v>
                </c:pt>
                <c:pt idx="43">
                  <c:v>5.2947534158837399</c:v>
                </c:pt>
                <c:pt idx="44">
                  <c:v>3.1809828789838899</c:v>
                </c:pt>
                <c:pt idx="45">
                  <c:v>10.8467332558994</c:v>
                </c:pt>
                <c:pt idx="46">
                  <c:v>3.49220807799919</c:v>
                </c:pt>
                <c:pt idx="47">
                  <c:v>4.7650407321508501</c:v>
                </c:pt>
                <c:pt idx="48">
                  <c:v>4.2662968577349796</c:v>
                </c:pt>
                <c:pt idx="49">
                  <c:v>2.8604051021361498</c:v>
                </c:pt>
                <c:pt idx="50">
                  <c:v>2.2633761003845199</c:v>
                </c:pt>
                <c:pt idx="51">
                  <c:v>5.8534265550389497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5-4155-8827-D1FF4B4F1FA6}"/>
            </c:ext>
          </c:extLst>
        </c:ser>
        <c:ser>
          <c:idx val="1"/>
          <c:order val="1"/>
          <c:tx>
            <c:strRef>
              <c:f>tickets_test_results!$F$2</c:f>
              <c:strCache>
                <c:ptCount val="1"/>
                <c:pt idx="0">
                  <c:v>SISQ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tickets_test_results!$B$4:$B$55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tickets_test_results!$F$4:$F$55</c:f>
              <c:numCache>
                <c:formatCode>0.000</c:formatCode>
                <c:ptCount val="52"/>
                <c:pt idx="0">
                  <c:v>9.2138888888888797</c:v>
                </c:pt>
                <c:pt idx="1">
                  <c:v>5.9194444444444398</c:v>
                </c:pt>
                <c:pt idx="2">
                  <c:v>8.5374999999999996</c:v>
                </c:pt>
                <c:pt idx="3">
                  <c:v>8.0152777777777704</c:v>
                </c:pt>
                <c:pt idx="4">
                  <c:v>5.1486111111111104</c:v>
                </c:pt>
                <c:pt idx="5">
                  <c:v>5.2750000000000004</c:v>
                </c:pt>
                <c:pt idx="6">
                  <c:v>7.1305555555555502</c:v>
                </c:pt>
                <c:pt idx="7">
                  <c:v>10.725</c:v>
                </c:pt>
                <c:pt idx="8">
                  <c:v>11.0875</c:v>
                </c:pt>
                <c:pt idx="9">
                  <c:v>9.5069444444444393</c:v>
                </c:pt>
                <c:pt idx="10">
                  <c:v>4.7666666666666604</c:v>
                </c:pt>
                <c:pt idx="11">
                  <c:v>4.8569444444444398</c:v>
                </c:pt>
                <c:pt idx="12">
                  <c:v>6.36527777777777</c:v>
                </c:pt>
                <c:pt idx="13">
                  <c:v>6.2055555555555504</c:v>
                </c:pt>
                <c:pt idx="14">
                  <c:v>5.1305555555555502</c:v>
                </c:pt>
                <c:pt idx="15">
                  <c:v>6.87083333333333</c:v>
                </c:pt>
                <c:pt idx="16">
                  <c:v>3.1083333333333298</c:v>
                </c:pt>
                <c:pt idx="17">
                  <c:v>7.99444444444444</c:v>
                </c:pt>
                <c:pt idx="18">
                  <c:v>4.1388888888888804</c:v>
                </c:pt>
                <c:pt idx="19">
                  <c:v>5.95</c:v>
                </c:pt>
                <c:pt idx="20">
                  <c:v>13.9291666666666</c:v>
                </c:pt>
                <c:pt idx="21">
                  <c:v>3.7847222222222201</c:v>
                </c:pt>
                <c:pt idx="22">
                  <c:v>5.1986111111111102</c:v>
                </c:pt>
                <c:pt idx="23">
                  <c:v>6.5319444444444397</c:v>
                </c:pt>
                <c:pt idx="24">
                  <c:v>9.9486111111111093</c:v>
                </c:pt>
                <c:pt idx="25">
                  <c:v>4.5333333333333297</c:v>
                </c:pt>
                <c:pt idx="26">
                  <c:v>4.7041666666666604</c:v>
                </c:pt>
                <c:pt idx="27">
                  <c:v>4.67638888888888</c:v>
                </c:pt>
                <c:pt idx="28">
                  <c:v>6.3375000000000004</c:v>
                </c:pt>
                <c:pt idx="29">
                  <c:v>3.5833333333333299</c:v>
                </c:pt>
                <c:pt idx="30">
                  <c:v>4.9472222222222202</c:v>
                </c:pt>
                <c:pt idx="31">
                  <c:v>4.6958333333333302</c:v>
                </c:pt>
                <c:pt idx="32">
                  <c:v>3.11805555555555</c:v>
                </c:pt>
                <c:pt idx="33">
                  <c:v>4.23888888888888</c:v>
                </c:pt>
                <c:pt idx="34">
                  <c:v>7.1333333333333302</c:v>
                </c:pt>
                <c:pt idx="35">
                  <c:v>6.93611111111111</c:v>
                </c:pt>
                <c:pt idx="36">
                  <c:v>3.95138888888888</c:v>
                </c:pt>
                <c:pt idx="37">
                  <c:v>6.1944444444444402</c:v>
                </c:pt>
                <c:pt idx="38">
                  <c:v>5.2055555555555504</c:v>
                </c:pt>
                <c:pt idx="39">
                  <c:v>6.2333333333333298</c:v>
                </c:pt>
                <c:pt idx="40">
                  <c:v>10.1875</c:v>
                </c:pt>
                <c:pt idx="41">
                  <c:v>4.9180555555555499</c:v>
                </c:pt>
                <c:pt idx="42">
                  <c:v>6.2236111111111097</c:v>
                </c:pt>
                <c:pt idx="43">
                  <c:v>3.6069444444444398</c:v>
                </c:pt>
                <c:pt idx="44">
                  <c:v>3.1902777777777702</c:v>
                </c:pt>
                <c:pt idx="45">
                  <c:v>12.1458333333333</c:v>
                </c:pt>
                <c:pt idx="46">
                  <c:v>3.61805555555555</c:v>
                </c:pt>
                <c:pt idx="47">
                  <c:v>5.2222222222222197</c:v>
                </c:pt>
                <c:pt idx="48">
                  <c:v>4.3611111111111098</c:v>
                </c:pt>
                <c:pt idx="49">
                  <c:v>6.3833333333333302</c:v>
                </c:pt>
                <c:pt idx="50">
                  <c:v>2.7749999999999999</c:v>
                </c:pt>
                <c:pt idx="51">
                  <c:v>8.0805555555555504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5-4155-8827-D1FF4B4F1FA6}"/>
            </c:ext>
          </c:extLst>
        </c:ser>
        <c:ser>
          <c:idx val="2"/>
          <c:order val="2"/>
          <c:tx>
            <c:strRef>
              <c:f>tickets_test_results!$I$3</c:f>
              <c:strCache>
                <c:ptCount val="1"/>
                <c:pt idx="0">
                  <c:v>Mlp/Sisq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tickets_test_results!$B$4:$B$55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tickets_test_results!$I$4:$I$55</c:f>
              <c:numCache>
                <c:formatCode>0.000</c:formatCode>
                <c:ptCount val="52"/>
                <c:pt idx="0">
                  <c:v>0.88600417069465498</c:v>
                </c:pt>
                <c:pt idx="1">
                  <c:v>0.95118184097680203</c:v>
                </c:pt>
                <c:pt idx="2">
                  <c:v>0.71117728890395704</c:v>
                </c:pt>
                <c:pt idx="3">
                  <c:v>0.513391103935398</c:v>
                </c:pt>
                <c:pt idx="4">
                  <c:v>0.94022565904220001</c:v>
                </c:pt>
                <c:pt idx="5">
                  <c:v>0.91971764907252396</c:v>
                </c:pt>
                <c:pt idx="6">
                  <c:v>0.58148145034153598</c:v>
                </c:pt>
                <c:pt idx="7">
                  <c:v>0.57303524133294403</c:v>
                </c:pt>
                <c:pt idx="8">
                  <c:v>0.708943458901935</c:v>
                </c:pt>
                <c:pt idx="9">
                  <c:v>0.720125657506137</c:v>
                </c:pt>
                <c:pt idx="10">
                  <c:v>0.82315332045588696</c:v>
                </c:pt>
                <c:pt idx="11">
                  <c:v>1.2628937604416499</c:v>
                </c:pt>
                <c:pt idx="12">
                  <c:v>0.67652204773996805</c:v>
                </c:pt>
                <c:pt idx="13">
                  <c:v>0.82999614981087799</c:v>
                </c:pt>
                <c:pt idx="14">
                  <c:v>0.80032694520554704</c:v>
                </c:pt>
                <c:pt idx="15">
                  <c:v>1.2215133239142699</c:v>
                </c:pt>
                <c:pt idx="16">
                  <c:v>1.09545990029181</c:v>
                </c:pt>
                <c:pt idx="17">
                  <c:v>0.92527520252691398</c:v>
                </c:pt>
                <c:pt idx="18">
                  <c:v>1.1620709818701001</c:v>
                </c:pt>
                <c:pt idx="19">
                  <c:v>1.0483531024322199</c:v>
                </c:pt>
                <c:pt idx="20">
                  <c:v>0.79825137042600802</c:v>
                </c:pt>
                <c:pt idx="21">
                  <c:v>1.1203768523775499</c:v>
                </c:pt>
                <c:pt idx="22">
                  <c:v>1.2225831990124501</c:v>
                </c:pt>
                <c:pt idx="23">
                  <c:v>0.89818139611690595</c:v>
                </c:pt>
                <c:pt idx="24">
                  <c:v>0.69900482560559696</c:v>
                </c:pt>
                <c:pt idx="25">
                  <c:v>1.0417780290101799</c:v>
                </c:pt>
                <c:pt idx="26">
                  <c:v>1.64783565515881</c:v>
                </c:pt>
                <c:pt idx="27">
                  <c:v>0.82015998658047395</c:v>
                </c:pt>
                <c:pt idx="28">
                  <c:v>1.0607254353267599</c:v>
                </c:pt>
                <c:pt idx="29">
                  <c:v>1.0490859935886501</c:v>
                </c:pt>
                <c:pt idx="30">
                  <c:v>0.97540610883915702</c:v>
                </c:pt>
                <c:pt idx="31">
                  <c:v>1.4755532144738299</c:v>
                </c:pt>
                <c:pt idx="32">
                  <c:v>1.0797231516672501</c:v>
                </c:pt>
                <c:pt idx="33">
                  <c:v>0.84767937440262797</c:v>
                </c:pt>
                <c:pt idx="34">
                  <c:v>0.888551179196852</c:v>
                </c:pt>
                <c:pt idx="35">
                  <c:v>0.83078024760772395</c:v>
                </c:pt>
                <c:pt idx="36">
                  <c:v>1.7306987282669599</c:v>
                </c:pt>
                <c:pt idx="37">
                  <c:v>0.920366546457283</c:v>
                </c:pt>
                <c:pt idx="38">
                  <c:v>1.12420961236474</c:v>
                </c:pt>
                <c:pt idx="39">
                  <c:v>0.73747305482527803</c:v>
                </c:pt>
                <c:pt idx="40">
                  <c:v>0.59181689903775503</c:v>
                </c:pt>
                <c:pt idx="41">
                  <c:v>1.23904365527081</c:v>
                </c:pt>
                <c:pt idx="42">
                  <c:v>0.96718627704093496</c:v>
                </c:pt>
                <c:pt idx="43">
                  <c:v>1.4679331765253301</c:v>
                </c:pt>
                <c:pt idx="44">
                  <c:v>0.99708649232407698</c:v>
                </c:pt>
                <c:pt idx="45">
                  <c:v>0.89304150305861196</c:v>
                </c:pt>
                <c:pt idx="46">
                  <c:v>0.96521682002281095</c:v>
                </c:pt>
                <c:pt idx="47">
                  <c:v>0.91245460828420599</c:v>
                </c:pt>
                <c:pt idx="48">
                  <c:v>0.97825915209209902</c:v>
                </c:pt>
                <c:pt idx="49">
                  <c:v>0.44810523793255602</c:v>
                </c:pt>
                <c:pt idx="50">
                  <c:v>0.81563102716559299</c:v>
                </c:pt>
                <c:pt idx="51">
                  <c:v>0.72438417319148296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25-4155-8827-D1FF4B4F1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033248"/>
        <c:axId val="1292767552"/>
      </c:lineChart>
      <c:catAx>
        <c:axId val="153903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67552"/>
        <c:crosses val="autoZero"/>
        <c:auto val="1"/>
        <c:lblAlgn val="ctr"/>
        <c:lblOffset val="100"/>
        <c:noMultiLvlLbl val="0"/>
      </c:catAx>
      <c:valAx>
        <c:axId val="129276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3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Tickets Forecast 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tickets_test_results!$K$1:$N$1</c:f>
              <c:strCache>
                <c:ptCount val="1"/>
                <c:pt idx="0">
                  <c:v>Together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tickets_test_results!$B$4:$B$55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tickets_test_results!$C$4:$C$55</c:f>
              <c:numCache>
                <c:formatCode>0.000</c:formatCode>
                <c:ptCount val="52"/>
                <c:pt idx="0">
                  <c:v>8.1635439838726995</c:v>
                </c:pt>
                <c:pt idx="1">
                  <c:v>5.6304680642265703</c:v>
                </c:pt>
                <c:pt idx="2">
                  <c:v>6.0716761040175298</c:v>
                </c:pt>
                <c:pt idx="3">
                  <c:v>4.1149723066822004</c:v>
                </c:pt>
                <c:pt idx="4">
                  <c:v>4.8408562750964403</c:v>
                </c:pt>
                <c:pt idx="5">
                  <c:v>4.8515105988575602</c:v>
                </c:pt>
                <c:pt idx="6">
                  <c:v>4.1462857861853397</c:v>
                </c:pt>
                <c:pt idx="7">
                  <c:v>6.1458029632958198</c:v>
                </c:pt>
                <c:pt idx="8">
                  <c:v>7.8604106005752099</c:v>
                </c:pt>
                <c:pt idx="9">
                  <c:v>6.8461946189298697</c:v>
                </c:pt>
                <c:pt idx="10">
                  <c:v>3.92369749417306</c:v>
                </c:pt>
                <c:pt idx="11">
                  <c:v>6.1338048337006397</c:v>
                </c:pt>
                <c:pt idx="12">
                  <c:v>4.30625075665594</c:v>
                </c:pt>
                <c:pt idx="13">
                  <c:v>5.1505872185486199</c:v>
                </c:pt>
                <c:pt idx="14">
                  <c:v>4.1061218549851199</c:v>
                </c:pt>
                <c:pt idx="15">
                  <c:v>8.3928144630609793</c:v>
                </c:pt>
                <c:pt idx="16">
                  <c:v>3.4050545234070602</c:v>
                </c:pt>
                <c:pt idx="17">
                  <c:v>7.3970612024235001</c:v>
                </c:pt>
                <c:pt idx="18">
                  <c:v>4.8096826749623602</c:v>
                </c:pt>
                <c:pt idx="19">
                  <c:v>6.2377009594717299</c:v>
                </c:pt>
                <c:pt idx="20">
                  <c:v>11.1189763805589</c:v>
                </c:pt>
                <c:pt idx="21">
                  <c:v>4.2403151704566904</c:v>
                </c:pt>
                <c:pt idx="22">
                  <c:v>6.3557346026439099</c:v>
                </c:pt>
                <c:pt idx="23">
                  <c:v>5.8668709804691801</c:v>
                </c:pt>
                <c:pt idx="24">
                  <c:v>6.9541271747401199</c:v>
                </c:pt>
                <c:pt idx="25">
                  <c:v>4.7227270648461603</c:v>
                </c:pt>
                <c:pt idx="26">
                  <c:v>7.7516935611429396</c:v>
                </c:pt>
                <c:pt idx="27">
                  <c:v>3.83538704835619</c:v>
                </c:pt>
                <c:pt idx="28">
                  <c:v>6.7223474463833597</c:v>
                </c:pt>
                <c:pt idx="29">
                  <c:v>3.75922481035935</c:v>
                </c:pt>
                <c:pt idx="30">
                  <c:v>4.8255507773403803</c:v>
                </c:pt>
                <c:pt idx="31">
                  <c:v>6.9289519696333803</c:v>
                </c:pt>
                <c:pt idx="32">
                  <c:v>3.3666367715180301</c:v>
                </c:pt>
                <c:pt idx="33">
                  <c:v>3.5932186814955802</c:v>
                </c:pt>
                <c:pt idx="34">
                  <c:v>6.3383317449375403</c:v>
                </c:pt>
                <c:pt idx="35">
                  <c:v>5.7623841063235703</c:v>
                </c:pt>
                <c:pt idx="36">
                  <c:v>6.8386637248882201</c:v>
                </c:pt>
                <c:pt idx="37">
                  <c:v>5.7011594405548403</c:v>
                </c:pt>
                <c:pt idx="38">
                  <c:v>5.8521355932542596</c:v>
                </c:pt>
                <c:pt idx="39">
                  <c:v>4.5969153750775602</c:v>
                </c:pt>
                <c:pt idx="40">
                  <c:v>6.0291346589471297</c:v>
                </c:pt>
                <c:pt idx="41">
                  <c:v>6.0936855323804799</c:v>
                </c:pt>
                <c:pt idx="42">
                  <c:v>6.0193912603061497</c:v>
                </c:pt>
                <c:pt idx="43">
                  <c:v>5.2947534158837399</c:v>
                </c:pt>
                <c:pt idx="44">
                  <c:v>3.1809828789838899</c:v>
                </c:pt>
                <c:pt idx="45">
                  <c:v>10.8467332558994</c:v>
                </c:pt>
                <c:pt idx="46">
                  <c:v>3.49220807799919</c:v>
                </c:pt>
                <c:pt idx="47">
                  <c:v>4.7650407321508501</c:v>
                </c:pt>
                <c:pt idx="48">
                  <c:v>4.2662968577349796</c:v>
                </c:pt>
                <c:pt idx="49">
                  <c:v>2.8604051021361498</c:v>
                </c:pt>
                <c:pt idx="50">
                  <c:v>2.2633761003845199</c:v>
                </c:pt>
                <c:pt idx="51">
                  <c:v>5.8534265550389497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0-4D98-BA74-E30B96244460}"/>
            </c:ext>
          </c:extLst>
        </c:ser>
        <c:ser>
          <c:idx val="1"/>
          <c:order val="1"/>
          <c:tx>
            <c:strRef>
              <c:f>[1]mlp_versus_sisq_pred_tickets_re!$K$1:$N$1</c:f>
              <c:strCache>
                <c:ptCount val="1"/>
                <c:pt idx="0">
                  <c:v>Directly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[1]mlp_versus_sisq_pred_tickets_re!$C$4:$C$55</c:f>
              <c:numCache>
                <c:formatCode>0.000</c:formatCode>
                <c:ptCount val="52"/>
                <c:pt idx="0">
                  <c:v>7.6284617011910703</c:v>
                </c:pt>
                <c:pt idx="1">
                  <c:v>5.06861110563566</c:v>
                </c:pt>
                <c:pt idx="2">
                  <c:v>6.0376213764347098</c:v>
                </c:pt>
                <c:pt idx="3">
                  <c:v>4.7849567067575096</c:v>
                </c:pt>
                <c:pt idx="4">
                  <c:v>5.0867983906108396</c:v>
                </c:pt>
                <c:pt idx="5">
                  <c:v>6.8605672930655599</c:v>
                </c:pt>
                <c:pt idx="6">
                  <c:v>4.3025245459620702</c:v>
                </c:pt>
                <c:pt idx="7">
                  <c:v>6.9237463079982398</c:v>
                </c:pt>
                <c:pt idx="8">
                  <c:v>8.0789819687367004</c:v>
                </c:pt>
                <c:pt idx="9">
                  <c:v>6.8478397478417898</c:v>
                </c:pt>
                <c:pt idx="10">
                  <c:v>4.0420023778309</c:v>
                </c:pt>
                <c:pt idx="11">
                  <c:v>4.42279711622764</c:v>
                </c:pt>
                <c:pt idx="12">
                  <c:v>4.6226039010709004</c:v>
                </c:pt>
                <c:pt idx="13">
                  <c:v>5.3713581865652698</c:v>
                </c:pt>
                <c:pt idx="14">
                  <c:v>3.6399339652327698</c:v>
                </c:pt>
                <c:pt idx="15">
                  <c:v>6.8942169688302801</c:v>
                </c:pt>
                <c:pt idx="16">
                  <c:v>3.1279536996072399</c:v>
                </c:pt>
                <c:pt idx="17">
                  <c:v>6.94107406401322</c:v>
                </c:pt>
                <c:pt idx="18">
                  <c:v>4.3847539368726496</c:v>
                </c:pt>
                <c:pt idx="19">
                  <c:v>6.3015735228131398</c:v>
                </c:pt>
                <c:pt idx="20">
                  <c:v>9.9333327934465494</c:v>
                </c:pt>
                <c:pt idx="21">
                  <c:v>3.6174175629335101</c:v>
                </c:pt>
                <c:pt idx="22">
                  <c:v>6.1643565222318202</c:v>
                </c:pt>
                <c:pt idx="23">
                  <c:v>5.3677199108420703</c:v>
                </c:pt>
                <c:pt idx="24">
                  <c:v>7.5362177678316797</c:v>
                </c:pt>
                <c:pt idx="25">
                  <c:v>4.7676942997449299</c:v>
                </c:pt>
                <c:pt idx="26">
                  <c:v>5.5454074289775503</c:v>
                </c:pt>
                <c:pt idx="27">
                  <c:v>4.9204380610885403</c:v>
                </c:pt>
                <c:pt idx="28">
                  <c:v>5.2548592652419899</c:v>
                </c:pt>
                <c:pt idx="29">
                  <c:v>3.39254236332193</c:v>
                </c:pt>
                <c:pt idx="30">
                  <c:v>5.3441613935840202</c:v>
                </c:pt>
                <c:pt idx="31">
                  <c:v>6.0517339457546599</c:v>
                </c:pt>
                <c:pt idx="32">
                  <c:v>3.4589938126836599</c:v>
                </c:pt>
                <c:pt idx="33">
                  <c:v>4.1664360366049404</c:v>
                </c:pt>
                <c:pt idx="34">
                  <c:v>6.7283476189322604</c:v>
                </c:pt>
                <c:pt idx="35">
                  <c:v>5.6790124269229301</c:v>
                </c:pt>
                <c:pt idx="36">
                  <c:v>6.1745418932221501</c:v>
                </c:pt>
                <c:pt idx="37">
                  <c:v>5.1673549909013898</c:v>
                </c:pt>
                <c:pt idx="38">
                  <c:v>5.6002412396780503</c:v>
                </c:pt>
                <c:pt idx="39">
                  <c:v>5.1535012379946004</c:v>
                </c:pt>
                <c:pt idx="40">
                  <c:v>5.2276310095488201</c:v>
                </c:pt>
                <c:pt idx="41">
                  <c:v>5.7523668433828101</c:v>
                </c:pt>
                <c:pt idx="42">
                  <c:v>6.1549200824146597</c:v>
                </c:pt>
                <c:pt idx="43">
                  <c:v>5.1407071089221299</c:v>
                </c:pt>
                <c:pt idx="44">
                  <c:v>2.8352370821833102</c:v>
                </c:pt>
                <c:pt idx="45">
                  <c:v>10.745697315082101</c:v>
                </c:pt>
                <c:pt idx="46">
                  <c:v>3.72077654621825</c:v>
                </c:pt>
                <c:pt idx="47">
                  <c:v>4.2968488562776397</c:v>
                </c:pt>
                <c:pt idx="48">
                  <c:v>4.4664315032911102</c:v>
                </c:pt>
                <c:pt idx="49">
                  <c:v>1.9015912451861401</c:v>
                </c:pt>
                <c:pt idx="50">
                  <c:v>2.3015429757891699</c:v>
                </c:pt>
                <c:pt idx="51">
                  <c:v>8.9538583061738404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0-4D98-BA74-E30B96244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4661392"/>
        <c:axId val="1292785792"/>
      </c:lineChart>
      <c:catAx>
        <c:axId val="1604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85792"/>
        <c:crosses val="autoZero"/>
        <c:auto val="1"/>
        <c:lblAlgn val="ctr"/>
        <c:lblOffset val="100"/>
        <c:noMultiLvlLbl val="0"/>
      </c:catAx>
      <c:valAx>
        <c:axId val="129278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0</xdr:rowOff>
    </xdr:from>
    <xdr:to>
      <xdr:col>29</xdr:col>
      <xdr:colOff>601980</xdr:colOff>
      <xdr:row>45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738502-A638-43B2-B5D2-9B503CA53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47</xdr:row>
      <xdr:rowOff>60960</xdr:rowOff>
    </xdr:from>
    <xdr:to>
      <xdr:col>25</xdr:col>
      <xdr:colOff>487680</xdr:colOff>
      <xdr:row>75</xdr:row>
      <xdr:rowOff>167640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F85291-B911-D23D-1ABA-87C422E20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wpc\Notebooks\pred_forecast_vs_real_tickets\results\mlp_versus_sisq_pred_tickets_results.xlsx" TargetMode="External"/><Relationship Id="rId1" Type="http://schemas.openxmlformats.org/officeDocument/2006/relationships/externalLinkPath" Target="/Users/newpc/Notebooks/pred_forecast_vs_real_tickets/results/mlp_versus_sisq_pred_tickets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lp_versus_sisq_pred_tickets_re"/>
    </sheetNames>
    <sheetDataSet>
      <sheetData sheetId="0">
        <row r="1">
          <cell r="K1" t="str">
            <v>Directly</v>
          </cell>
        </row>
        <row r="2">
          <cell r="C2" t="str">
            <v>MLP</v>
          </cell>
          <cell r="F2" t="str">
            <v>SISQ</v>
          </cell>
        </row>
        <row r="3">
          <cell r="I3" t="str">
            <v>Mlp/Sisq</v>
          </cell>
        </row>
        <row r="4">
          <cell r="B4">
            <v>10</v>
          </cell>
          <cell r="C4">
            <v>7.6284617011910703</v>
          </cell>
          <cell r="F4">
            <v>9.2138888888888797</v>
          </cell>
          <cell r="I4">
            <v>0.82793072427759595</v>
          </cell>
        </row>
        <row r="5">
          <cell r="B5">
            <v>11</v>
          </cell>
          <cell r="C5">
            <v>5.06861110563566</v>
          </cell>
          <cell r="F5">
            <v>5.9194444444444398</v>
          </cell>
          <cell r="I5">
            <v>0.85626466355177799</v>
          </cell>
        </row>
        <row r="6">
          <cell r="B6">
            <v>13</v>
          </cell>
          <cell r="C6">
            <v>6.0376213764347098</v>
          </cell>
          <cell r="F6">
            <v>8.5374999999999996</v>
          </cell>
          <cell r="I6">
            <v>0.70718844819147397</v>
          </cell>
        </row>
        <row r="7">
          <cell r="B7">
            <v>14</v>
          </cell>
          <cell r="C7">
            <v>4.7849567067575096</v>
          </cell>
          <cell r="F7">
            <v>8.0152777777777704</v>
          </cell>
          <cell r="I7">
            <v>0.59697952328286397</v>
          </cell>
        </row>
        <row r="8">
          <cell r="B8">
            <v>15</v>
          </cell>
          <cell r="C8">
            <v>5.0867983906108396</v>
          </cell>
          <cell r="F8">
            <v>5.1486111111111104</v>
          </cell>
          <cell r="I8">
            <v>0.98799429221467605</v>
          </cell>
        </row>
        <row r="9">
          <cell r="B9">
            <v>16</v>
          </cell>
          <cell r="C9">
            <v>6.8605672930655599</v>
          </cell>
          <cell r="F9">
            <v>5.2750000000000004</v>
          </cell>
          <cell r="I9">
            <v>1.3005814773583999</v>
          </cell>
        </row>
        <row r="10">
          <cell r="B10">
            <v>17</v>
          </cell>
          <cell r="C10">
            <v>4.3025245459620702</v>
          </cell>
          <cell r="F10">
            <v>7.1305555555555502</v>
          </cell>
          <cell r="I10">
            <v>0.60339261260083599</v>
          </cell>
        </row>
        <row r="11">
          <cell r="B11">
            <v>18</v>
          </cell>
          <cell r="C11">
            <v>6.9237463079982398</v>
          </cell>
          <cell r="F11">
            <v>10.137499999999999</v>
          </cell>
          <cell r="I11">
            <v>0.68298360621437604</v>
          </cell>
        </row>
        <row r="12">
          <cell r="B12">
            <v>19</v>
          </cell>
          <cell r="C12">
            <v>8.0789819687367004</v>
          </cell>
          <cell r="F12">
            <v>11.0875</v>
          </cell>
          <cell r="I12">
            <v>0.728656772828563</v>
          </cell>
        </row>
        <row r="13">
          <cell r="B13">
            <v>20</v>
          </cell>
          <cell r="C13">
            <v>6.8478397478417898</v>
          </cell>
          <cell r="F13">
            <v>9.5069444444444393</v>
          </cell>
          <cell r="I13">
            <v>0.72029870247568895</v>
          </cell>
        </row>
        <row r="14">
          <cell r="B14">
            <v>21</v>
          </cell>
          <cell r="C14">
            <v>4.0420023778309</v>
          </cell>
          <cell r="F14">
            <v>4.7666666666666604</v>
          </cell>
          <cell r="I14">
            <v>0.84797252681767099</v>
          </cell>
        </row>
        <row r="15">
          <cell r="B15">
            <v>22</v>
          </cell>
          <cell r="C15">
            <v>4.42279711622764</v>
          </cell>
          <cell r="F15">
            <v>4.8569444444444398</v>
          </cell>
          <cell r="I15">
            <v>0.91061307511693002</v>
          </cell>
        </row>
        <row r="16">
          <cell r="B16">
            <v>25</v>
          </cell>
          <cell r="C16">
            <v>4.6226039010709004</v>
          </cell>
          <cell r="F16">
            <v>6.36527777777777</v>
          </cell>
          <cell r="I16">
            <v>0.72622186532207</v>
          </cell>
        </row>
        <row r="17">
          <cell r="B17">
            <v>26</v>
          </cell>
          <cell r="C17">
            <v>5.3713581865652698</v>
          </cell>
          <cell r="F17">
            <v>6.2055555555555504</v>
          </cell>
          <cell r="I17">
            <v>0.86557249201589004</v>
          </cell>
        </row>
        <row r="18">
          <cell r="B18">
            <v>30</v>
          </cell>
          <cell r="C18">
            <v>3.6399339652327698</v>
          </cell>
          <cell r="F18">
            <v>5.1305555555555502</v>
          </cell>
          <cell r="I18">
            <v>0.709461953158526</v>
          </cell>
        </row>
        <row r="19">
          <cell r="B19">
            <v>31</v>
          </cell>
          <cell r="C19">
            <v>6.8942169688302801</v>
          </cell>
          <cell r="F19">
            <v>6.87083333333333</v>
          </cell>
          <cell r="I19">
            <v>1.00340331868967</v>
          </cell>
        </row>
        <row r="20">
          <cell r="B20">
            <v>32</v>
          </cell>
          <cell r="C20">
            <v>3.1279536996072399</v>
          </cell>
          <cell r="F20">
            <v>3.1083333333333298</v>
          </cell>
          <cell r="I20">
            <v>1.00631218217927</v>
          </cell>
        </row>
        <row r="21">
          <cell r="B21">
            <v>33</v>
          </cell>
          <cell r="C21">
            <v>6.94107406401322</v>
          </cell>
          <cell r="F21">
            <v>7.99444444444444</v>
          </cell>
          <cell r="I21">
            <v>0.86823720050200204</v>
          </cell>
        </row>
        <row r="22">
          <cell r="B22">
            <v>34</v>
          </cell>
          <cell r="C22">
            <v>4.3847539368726496</v>
          </cell>
          <cell r="F22">
            <v>4.1388888888888804</v>
          </cell>
          <cell r="I22">
            <v>1.0594036357544601</v>
          </cell>
        </row>
        <row r="23">
          <cell r="B23">
            <v>35</v>
          </cell>
          <cell r="C23">
            <v>6.3015735228131398</v>
          </cell>
          <cell r="F23">
            <v>5.95</v>
          </cell>
          <cell r="I23">
            <v>1.0590879870274199</v>
          </cell>
        </row>
        <row r="24">
          <cell r="B24">
            <v>37</v>
          </cell>
          <cell r="C24">
            <v>9.9333327934465494</v>
          </cell>
          <cell r="F24">
            <v>13.9291666666666</v>
          </cell>
          <cell r="I24">
            <v>0.71313187867997996</v>
          </cell>
        </row>
        <row r="25">
          <cell r="B25">
            <v>38</v>
          </cell>
          <cell r="C25">
            <v>3.6174175629335101</v>
          </cell>
          <cell r="F25">
            <v>3.7847222222222201</v>
          </cell>
          <cell r="I25">
            <v>0.95579473222463596</v>
          </cell>
        </row>
        <row r="26">
          <cell r="B26">
            <v>39</v>
          </cell>
          <cell r="C26">
            <v>6.1643565222318202</v>
          </cell>
          <cell r="F26">
            <v>5.1986111111111102</v>
          </cell>
          <cell r="I26">
            <v>1.1857698893953801</v>
          </cell>
        </row>
        <row r="27">
          <cell r="B27">
            <v>40</v>
          </cell>
          <cell r="C27">
            <v>5.3677199108420703</v>
          </cell>
          <cell r="F27">
            <v>5.8444444444444397</v>
          </cell>
          <cell r="I27">
            <v>0.91843116345206499</v>
          </cell>
        </row>
        <row r="28">
          <cell r="B28">
            <v>41</v>
          </cell>
          <cell r="C28">
            <v>7.5362177678316797</v>
          </cell>
          <cell r="F28">
            <v>9.9486111111111093</v>
          </cell>
          <cell r="I28">
            <v>0.75751455993840699</v>
          </cell>
        </row>
        <row r="29">
          <cell r="B29">
            <v>42</v>
          </cell>
          <cell r="C29">
            <v>4.7676942997449299</v>
          </cell>
          <cell r="F29">
            <v>4.5333333333333297</v>
          </cell>
          <cell r="I29">
            <v>1.0516972720025499</v>
          </cell>
        </row>
        <row r="30">
          <cell r="B30">
            <v>43</v>
          </cell>
          <cell r="C30">
            <v>5.5454074289775503</v>
          </cell>
          <cell r="F30">
            <v>4.7041666666666604</v>
          </cell>
          <cell r="I30">
            <v>1.17882886001294</v>
          </cell>
        </row>
        <row r="31">
          <cell r="B31">
            <v>45</v>
          </cell>
          <cell r="C31">
            <v>4.9204380610885403</v>
          </cell>
          <cell r="F31">
            <v>4.67638888888888</v>
          </cell>
          <cell r="I31">
            <v>1.0521875271707</v>
          </cell>
        </row>
        <row r="32">
          <cell r="B32">
            <v>49</v>
          </cell>
          <cell r="C32">
            <v>5.2548592652419899</v>
          </cell>
          <cell r="F32">
            <v>6.3375000000000004</v>
          </cell>
          <cell r="I32">
            <v>0.82916911483108402</v>
          </cell>
        </row>
        <row r="33">
          <cell r="B33">
            <v>50</v>
          </cell>
          <cell r="C33">
            <v>3.39254236332193</v>
          </cell>
          <cell r="F33">
            <v>3.5833333333333299</v>
          </cell>
          <cell r="I33">
            <v>0.94675600836891305</v>
          </cell>
        </row>
        <row r="34">
          <cell r="B34">
            <v>51</v>
          </cell>
          <cell r="C34">
            <v>5.3441613935840202</v>
          </cell>
          <cell r="F34">
            <v>4.9472222222222202</v>
          </cell>
          <cell r="I34">
            <v>1.0802347567042301</v>
          </cell>
        </row>
        <row r="35">
          <cell r="B35">
            <v>52</v>
          </cell>
          <cell r="C35">
            <v>6.0517339457546599</v>
          </cell>
          <cell r="F35">
            <v>4.6958333333333302</v>
          </cell>
          <cell r="I35">
            <v>1.2887454720329301</v>
          </cell>
        </row>
        <row r="36">
          <cell r="B36">
            <v>53</v>
          </cell>
          <cell r="C36">
            <v>3.4589938126836599</v>
          </cell>
          <cell r="F36">
            <v>3.11805555555555</v>
          </cell>
          <cell r="I36">
            <v>1.10934322723039</v>
          </cell>
        </row>
        <row r="37">
          <cell r="B37">
            <v>54</v>
          </cell>
          <cell r="C37">
            <v>4.1664360366049404</v>
          </cell>
          <cell r="F37">
            <v>4.23888888888888</v>
          </cell>
          <cell r="I37">
            <v>0.98290758399592404</v>
          </cell>
        </row>
        <row r="38">
          <cell r="B38">
            <v>55</v>
          </cell>
          <cell r="C38">
            <v>6.7283476189322604</v>
          </cell>
          <cell r="F38">
            <v>7.1333333333333302</v>
          </cell>
          <cell r="I38">
            <v>0.94322630171947597</v>
          </cell>
        </row>
        <row r="39">
          <cell r="B39">
            <v>56</v>
          </cell>
          <cell r="C39">
            <v>5.6790124269229301</v>
          </cell>
          <cell r="F39">
            <v>6.93611111111111</v>
          </cell>
          <cell r="I39">
            <v>0.81876030183910897</v>
          </cell>
        </row>
        <row r="40">
          <cell r="B40">
            <v>58</v>
          </cell>
          <cell r="C40">
            <v>6.1745418932221501</v>
          </cell>
          <cell r="F40">
            <v>3.9013888888888801</v>
          </cell>
          <cell r="I40">
            <v>1.58265224746171</v>
          </cell>
        </row>
        <row r="41">
          <cell r="B41">
            <v>60</v>
          </cell>
          <cell r="C41">
            <v>5.1673549909013898</v>
          </cell>
          <cell r="F41">
            <v>6.1944444444444402</v>
          </cell>
          <cell r="I41">
            <v>0.83419183709618905</v>
          </cell>
        </row>
        <row r="42">
          <cell r="B42">
            <v>61</v>
          </cell>
          <cell r="C42">
            <v>5.6002412396780503</v>
          </cell>
          <cell r="F42">
            <v>5.2055555555555504</v>
          </cell>
          <cell r="I42">
            <v>1.0758200887321701</v>
          </cell>
        </row>
        <row r="43">
          <cell r="B43">
            <v>62</v>
          </cell>
          <cell r="C43">
            <v>5.1535012379946004</v>
          </cell>
          <cell r="F43">
            <v>6.2333333333333298</v>
          </cell>
          <cell r="I43">
            <v>0.82676490449111295</v>
          </cell>
        </row>
        <row r="44">
          <cell r="B44">
            <v>63</v>
          </cell>
          <cell r="C44">
            <v>5.2276310095488201</v>
          </cell>
          <cell r="F44">
            <v>10.1875</v>
          </cell>
          <cell r="I44">
            <v>0.51314169418884104</v>
          </cell>
        </row>
        <row r="45">
          <cell r="B45">
            <v>64</v>
          </cell>
          <cell r="C45">
            <v>5.7523668433828101</v>
          </cell>
          <cell r="F45">
            <v>4.9180555555555499</v>
          </cell>
          <cell r="I45">
            <v>1.16964250980955</v>
          </cell>
        </row>
        <row r="46">
          <cell r="B46">
            <v>65</v>
          </cell>
          <cell r="C46">
            <v>6.1549200824146597</v>
          </cell>
          <cell r="F46">
            <v>6.2236111111111097</v>
          </cell>
          <cell r="I46">
            <v>0.98896283404118601</v>
          </cell>
        </row>
        <row r="47">
          <cell r="B47">
            <v>66</v>
          </cell>
          <cell r="C47">
            <v>5.1407071089221299</v>
          </cell>
          <cell r="F47">
            <v>3.6069444444444398</v>
          </cell>
          <cell r="I47">
            <v>1.42522492045588</v>
          </cell>
        </row>
        <row r="48">
          <cell r="B48">
            <v>67</v>
          </cell>
          <cell r="C48">
            <v>2.8352370821833102</v>
          </cell>
          <cell r="F48">
            <v>3.1902777777777702</v>
          </cell>
          <cell r="I48">
            <v>0.88871166703177495</v>
          </cell>
        </row>
        <row r="49">
          <cell r="B49">
            <v>68</v>
          </cell>
          <cell r="C49">
            <v>10.745697315082101</v>
          </cell>
          <cell r="F49">
            <v>12.1458333333333</v>
          </cell>
          <cell r="I49">
            <v>0.884722935032489</v>
          </cell>
        </row>
        <row r="50">
          <cell r="B50">
            <v>69</v>
          </cell>
          <cell r="C50">
            <v>3.72077654621825</v>
          </cell>
          <cell r="F50">
            <v>3.61805555555555</v>
          </cell>
          <cell r="I50">
            <v>1.0283912143098399</v>
          </cell>
        </row>
        <row r="51">
          <cell r="B51">
            <v>71</v>
          </cell>
          <cell r="C51">
            <v>4.2968488562776397</v>
          </cell>
          <cell r="F51">
            <v>5.2222222222222197</v>
          </cell>
          <cell r="I51">
            <v>0.82280084481912297</v>
          </cell>
        </row>
        <row r="52">
          <cell r="B52">
            <v>72</v>
          </cell>
          <cell r="C52">
            <v>4.4664315032911102</v>
          </cell>
          <cell r="F52">
            <v>4.3611111111111098</v>
          </cell>
          <cell r="I52">
            <v>1.02414989884382</v>
          </cell>
        </row>
        <row r="53">
          <cell r="B53">
            <v>73</v>
          </cell>
          <cell r="C53">
            <v>1.9015912451861401</v>
          </cell>
          <cell r="F53">
            <v>6.3833333333333302</v>
          </cell>
          <cell r="I53">
            <v>0.29789941177850698</v>
          </cell>
        </row>
        <row r="54">
          <cell r="B54">
            <v>74</v>
          </cell>
          <cell r="C54">
            <v>2.3015429757891699</v>
          </cell>
          <cell r="F54">
            <v>2.7749999999999999</v>
          </cell>
          <cell r="I54">
            <v>0.82938485614024404</v>
          </cell>
        </row>
        <row r="55">
          <cell r="B55">
            <v>75</v>
          </cell>
          <cell r="C55">
            <v>8.9538583061738404</v>
          </cell>
          <cell r="F55">
            <v>8.0805555555555504</v>
          </cell>
          <cell r="I55">
            <v>1.1080745927200299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5"/>
  <sheetViews>
    <sheetView tabSelected="1" topLeftCell="F46" workbookViewId="0">
      <selection activeCell="K1" sqref="K1:N1"/>
    </sheetView>
  </sheetViews>
  <sheetFormatPr defaultRowHeight="14.4" x14ac:dyDescent="0.3"/>
  <cols>
    <col min="2" max="2" width="8.88671875" style="1"/>
    <col min="3" max="3" width="12.109375" customWidth="1"/>
    <col min="4" max="4" width="11.6640625" customWidth="1"/>
    <col min="5" max="5" width="13.5546875" customWidth="1"/>
    <col min="6" max="6" width="12.33203125" customWidth="1"/>
    <col min="7" max="7" width="11.33203125" customWidth="1"/>
    <col min="8" max="8" width="13.88671875" customWidth="1"/>
    <col min="9" max="9" width="14.44140625" customWidth="1"/>
    <col min="13" max="13" width="10.6640625" customWidth="1"/>
    <col min="14" max="14" width="12.88671875" customWidth="1"/>
  </cols>
  <sheetData>
    <row r="1" spans="2:14" x14ac:dyDescent="0.3">
      <c r="K1" s="11" t="s">
        <v>12</v>
      </c>
      <c r="L1" s="11"/>
      <c r="M1" s="11"/>
      <c r="N1" s="11"/>
    </row>
    <row r="2" spans="2:14" x14ac:dyDescent="0.3">
      <c r="C2" s="5" t="s">
        <v>1</v>
      </c>
      <c r="D2" s="5"/>
      <c r="E2" s="5"/>
      <c r="F2" s="5" t="s">
        <v>2</v>
      </c>
      <c r="G2" s="5"/>
      <c r="H2" s="5"/>
      <c r="I2" s="6" t="s">
        <v>3</v>
      </c>
    </row>
    <row r="3" spans="2:14" x14ac:dyDescent="0.3">
      <c r="B3" s="2" t="s">
        <v>0</v>
      </c>
      <c r="C3" s="2" t="s">
        <v>3</v>
      </c>
      <c r="D3" s="2" t="s">
        <v>4</v>
      </c>
      <c r="E3" s="2" t="s">
        <v>5</v>
      </c>
      <c r="F3" s="2" t="s">
        <v>3</v>
      </c>
      <c r="G3" s="2" t="s">
        <v>4</v>
      </c>
      <c r="H3" s="2" t="s">
        <v>5</v>
      </c>
      <c r="I3" s="2" t="s">
        <v>6</v>
      </c>
      <c r="L3" s="7" t="s">
        <v>3</v>
      </c>
      <c r="M3" s="7"/>
      <c r="N3" s="7"/>
    </row>
    <row r="4" spans="2:14" x14ac:dyDescent="0.3">
      <c r="B4" s="3">
        <v>10</v>
      </c>
      <c r="C4" s="4">
        <v>8.1635439838726995</v>
      </c>
      <c r="D4" s="4">
        <v>16.016488552870101</v>
      </c>
      <c r="E4" s="4">
        <v>0.93265725220857598</v>
      </c>
      <c r="F4" s="4">
        <v>9.2138888888888797</v>
      </c>
      <c r="G4" s="4">
        <v>17.368394027978201</v>
      </c>
      <c r="H4" s="4">
        <v>0.92080905163375903</v>
      </c>
      <c r="I4" s="4">
        <v>0.88600417069465498</v>
      </c>
      <c r="L4" s="8" t="s">
        <v>1</v>
      </c>
      <c r="M4" s="8" t="s">
        <v>2</v>
      </c>
      <c r="N4" s="8" t="s">
        <v>7</v>
      </c>
    </row>
    <row r="5" spans="2:14" x14ac:dyDescent="0.3">
      <c r="B5" s="3">
        <v>11</v>
      </c>
      <c r="C5" s="4">
        <v>5.6304680642265703</v>
      </c>
      <c r="D5" s="4">
        <v>11.0259066769742</v>
      </c>
      <c r="E5" s="4">
        <v>0.96170155275887703</v>
      </c>
      <c r="F5" s="4">
        <v>5.9194444444444398</v>
      </c>
      <c r="G5" s="4">
        <v>11.208131968451299</v>
      </c>
      <c r="H5" s="4">
        <v>0.96042517404873595</v>
      </c>
      <c r="I5" s="4">
        <v>0.95118184097680203</v>
      </c>
      <c r="K5" s="9" t="s">
        <v>8</v>
      </c>
      <c r="L5" s="10">
        <f>MIN(C4:C55)</f>
        <v>2.2633761003845199</v>
      </c>
      <c r="M5" s="10">
        <f>MIN(F4:F55)</f>
        <v>2.7749999999999999</v>
      </c>
      <c r="N5" s="10">
        <f>MIN(I4:I55)</f>
        <v>0.44810523793255602</v>
      </c>
    </row>
    <row r="6" spans="2:14" x14ac:dyDescent="0.3">
      <c r="B6" s="3">
        <v>13</v>
      </c>
      <c r="C6" s="4">
        <v>6.0716761040175298</v>
      </c>
      <c r="D6" s="4">
        <v>12.3231508113759</v>
      </c>
      <c r="E6" s="4">
        <v>0.94925816745914604</v>
      </c>
      <c r="F6" s="4">
        <v>8.5374999999999996</v>
      </c>
      <c r="G6" s="4">
        <v>15.881461939422699</v>
      </c>
      <c r="H6" s="4">
        <v>0.91572406546575302</v>
      </c>
      <c r="I6" s="4">
        <v>0.71117728890395704</v>
      </c>
      <c r="K6" s="9" t="s">
        <v>9</v>
      </c>
      <c r="L6" s="10">
        <f>MAX(C4:C55)</f>
        <v>11.1189763805589</v>
      </c>
      <c r="M6" s="10">
        <f>MAX(F4:F55)</f>
        <v>13.9291666666666</v>
      </c>
      <c r="N6" s="10">
        <f>MAX(I4:I55)</f>
        <v>1.7306987282669599</v>
      </c>
    </row>
    <row r="7" spans="2:14" x14ac:dyDescent="0.3">
      <c r="B7" s="3">
        <v>14</v>
      </c>
      <c r="C7" s="4">
        <v>4.1149723066822004</v>
      </c>
      <c r="D7" s="4">
        <v>8.4005833908235008</v>
      </c>
      <c r="E7" s="4">
        <v>0.96299402317822502</v>
      </c>
      <c r="F7" s="4">
        <v>8.0152777777777704</v>
      </c>
      <c r="G7" s="4">
        <v>15.4220711247801</v>
      </c>
      <c r="H7" s="4">
        <v>0.87527934550159803</v>
      </c>
      <c r="I7" s="4">
        <v>0.513391103935398</v>
      </c>
      <c r="K7" s="9" t="s">
        <v>10</v>
      </c>
      <c r="L7" s="10">
        <f>AVERAGE(C4:C55)</f>
        <v>5.5506016179991109</v>
      </c>
      <c r="M7" s="10">
        <f>AVERAGE(F4:F55)</f>
        <v>6.2027243589743524</v>
      </c>
      <c r="N7" s="10">
        <f>AVERAGE(I4:I55)</f>
        <v>0.94845060074324417</v>
      </c>
    </row>
    <row r="8" spans="2:14" x14ac:dyDescent="0.3">
      <c r="B8" s="3">
        <v>15</v>
      </c>
      <c r="C8" s="4">
        <v>4.8408562750964403</v>
      </c>
      <c r="D8" s="4">
        <v>9.2103147455638794</v>
      </c>
      <c r="E8" s="4">
        <v>0.96758644767134305</v>
      </c>
      <c r="F8" s="4">
        <v>5.1486111111111104</v>
      </c>
      <c r="G8" s="4">
        <v>10.0630650289947</v>
      </c>
      <c r="H8" s="4">
        <v>0.96130647956860604</v>
      </c>
      <c r="I8" s="4">
        <v>0.94022565904220001</v>
      </c>
      <c r="K8" s="9" t="s">
        <v>11</v>
      </c>
      <c r="L8" s="10">
        <f>MEDIAN(C4:C55)</f>
        <v>5.6658137523907053</v>
      </c>
      <c r="M8" s="10">
        <f>MEDIAN(F4:F55)</f>
        <v>5.5972222222222197</v>
      </c>
      <c r="N8" s="10">
        <f>MEDIAN(I4:I55)</f>
        <v>0.92004209776490353</v>
      </c>
    </row>
    <row r="9" spans="2:14" x14ac:dyDescent="0.3">
      <c r="B9" s="3">
        <v>16</v>
      </c>
      <c r="C9" s="4">
        <v>4.8515105988575602</v>
      </c>
      <c r="D9" s="4">
        <v>9.5469712809246499</v>
      </c>
      <c r="E9" s="4">
        <v>0.94210523285889303</v>
      </c>
      <c r="F9" s="4">
        <v>5.2750000000000004</v>
      </c>
      <c r="G9" s="4">
        <v>10.316922452402601</v>
      </c>
      <c r="H9" s="4">
        <v>0.93239039298855997</v>
      </c>
      <c r="I9" s="4">
        <v>0.91971764907252396</v>
      </c>
    </row>
    <row r="10" spans="2:14" x14ac:dyDescent="0.3">
      <c r="B10" s="3">
        <v>17</v>
      </c>
      <c r="C10" s="4">
        <v>4.1462857861853397</v>
      </c>
      <c r="D10" s="4">
        <v>7.9453314381562397</v>
      </c>
      <c r="E10" s="4">
        <v>0.95998114898123499</v>
      </c>
      <c r="F10" s="4">
        <v>7.1305555555555502</v>
      </c>
      <c r="G10" s="4">
        <v>14.1499901845274</v>
      </c>
      <c r="H10" s="4">
        <v>0.87307333889789396</v>
      </c>
      <c r="I10" s="4">
        <v>0.58148145034153598</v>
      </c>
    </row>
    <row r="11" spans="2:14" x14ac:dyDescent="0.3">
      <c r="B11" s="3">
        <v>18</v>
      </c>
      <c r="C11" s="4">
        <v>6.1458029632958198</v>
      </c>
      <c r="D11" s="4">
        <v>12.224101559541801</v>
      </c>
      <c r="E11" s="4">
        <v>0.96275941718299296</v>
      </c>
      <c r="F11" s="4">
        <v>10.725</v>
      </c>
      <c r="G11" s="4">
        <v>19.491023574968999</v>
      </c>
      <c r="H11" s="4">
        <v>0.90532139207612305</v>
      </c>
      <c r="I11" s="4">
        <v>0.57303524133294403</v>
      </c>
    </row>
    <row r="12" spans="2:14" x14ac:dyDescent="0.3">
      <c r="B12" s="3">
        <v>19</v>
      </c>
      <c r="C12" s="4">
        <v>7.8604106005752099</v>
      </c>
      <c r="D12" s="4">
        <v>14.764567325450001</v>
      </c>
      <c r="E12" s="4">
        <v>0.94260918026392504</v>
      </c>
      <c r="F12" s="4">
        <v>11.0875</v>
      </c>
      <c r="G12" s="4">
        <v>21.005323399345901</v>
      </c>
      <c r="H12" s="4">
        <v>0.88383916541535601</v>
      </c>
      <c r="I12" s="4">
        <v>0.708943458901935</v>
      </c>
    </row>
    <row r="13" spans="2:14" x14ac:dyDescent="0.3">
      <c r="B13" s="3">
        <v>20</v>
      </c>
      <c r="C13" s="4">
        <v>6.8461946189298697</v>
      </c>
      <c r="D13" s="4">
        <v>13.9760171711685</v>
      </c>
      <c r="E13" s="4">
        <v>0.94892987865741496</v>
      </c>
      <c r="F13" s="4">
        <v>9.5069444444444393</v>
      </c>
      <c r="G13" s="4">
        <v>18.337537396765601</v>
      </c>
      <c r="H13" s="4">
        <v>0.91208113685783498</v>
      </c>
      <c r="I13" s="4">
        <v>0.720125657506137</v>
      </c>
    </row>
    <row r="14" spans="2:14" x14ac:dyDescent="0.3">
      <c r="B14" s="3">
        <v>21</v>
      </c>
      <c r="C14" s="4">
        <v>3.92369749417306</v>
      </c>
      <c r="D14" s="4">
        <v>7.54203031537772</v>
      </c>
      <c r="E14" s="4">
        <v>0.96127875310597299</v>
      </c>
      <c r="F14" s="4">
        <v>4.7666666666666604</v>
      </c>
      <c r="G14" s="4">
        <v>9.0506291985081795</v>
      </c>
      <c r="H14" s="4">
        <v>0.94423902856727904</v>
      </c>
      <c r="I14" s="4">
        <v>0.82315332045588696</v>
      </c>
    </row>
    <row r="15" spans="2:14" x14ac:dyDescent="0.3">
      <c r="B15" s="3">
        <v>22</v>
      </c>
      <c r="C15" s="4">
        <v>6.1338048337006397</v>
      </c>
      <c r="D15" s="4">
        <v>10.9996370291608</v>
      </c>
      <c r="E15" s="4">
        <v>0.86163150645573106</v>
      </c>
      <c r="F15" s="4">
        <v>4.8569444444444398</v>
      </c>
      <c r="G15" s="4">
        <v>9.2495495385811406</v>
      </c>
      <c r="H15" s="4">
        <v>0.90215882279269399</v>
      </c>
      <c r="I15" s="4">
        <v>1.2628937604416499</v>
      </c>
    </row>
    <row r="16" spans="2:14" x14ac:dyDescent="0.3">
      <c r="B16" s="3">
        <v>25</v>
      </c>
      <c r="C16" s="4">
        <v>4.30625075665594</v>
      </c>
      <c r="D16" s="4">
        <v>8.22885781562006</v>
      </c>
      <c r="E16" s="4">
        <v>0.96034638674973805</v>
      </c>
      <c r="F16" s="4">
        <v>6.36527777777777</v>
      </c>
      <c r="G16" s="4">
        <v>13.3094056132412</v>
      </c>
      <c r="H16" s="4">
        <v>0.89626603665221005</v>
      </c>
      <c r="I16" s="4">
        <v>0.67652204773996805</v>
      </c>
    </row>
    <row r="17" spans="2:9" x14ac:dyDescent="0.3">
      <c r="B17" s="3">
        <v>26</v>
      </c>
      <c r="C17" s="4">
        <v>5.1505872185486199</v>
      </c>
      <c r="D17" s="4">
        <v>9.6402632474289796</v>
      </c>
      <c r="E17" s="4">
        <v>0.93142651295100498</v>
      </c>
      <c r="F17" s="4">
        <v>6.2055555555555504</v>
      </c>
      <c r="G17" s="4">
        <v>11.397489977086</v>
      </c>
      <c r="H17" s="4">
        <v>0.90414894759582198</v>
      </c>
      <c r="I17" s="4">
        <v>0.82999614981087799</v>
      </c>
    </row>
    <row r="18" spans="2:9" x14ac:dyDescent="0.3">
      <c r="B18" s="3">
        <v>30</v>
      </c>
      <c r="C18" s="4">
        <v>4.1061218549851199</v>
      </c>
      <c r="D18" s="4">
        <v>7.8800211889705496</v>
      </c>
      <c r="E18" s="4">
        <v>0.91841187323774398</v>
      </c>
      <c r="F18" s="4">
        <v>5.1305555555555502</v>
      </c>
      <c r="G18" s="4">
        <v>9.6689652439590894</v>
      </c>
      <c r="H18" s="4">
        <v>0.87716215476390802</v>
      </c>
      <c r="I18" s="4">
        <v>0.80032694520554704</v>
      </c>
    </row>
    <row r="19" spans="2:9" x14ac:dyDescent="0.3">
      <c r="B19" s="3">
        <v>31</v>
      </c>
      <c r="C19" s="4">
        <v>8.3928144630609793</v>
      </c>
      <c r="D19" s="4">
        <v>15.627299773667101</v>
      </c>
      <c r="E19" s="4">
        <v>0.93228094472038103</v>
      </c>
      <c r="F19" s="4">
        <v>6.87083333333333</v>
      </c>
      <c r="G19" s="4">
        <v>13.372910013240199</v>
      </c>
      <c r="H19" s="4">
        <v>0.95040991542796605</v>
      </c>
      <c r="I19" s="4">
        <v>1.2215133239142699</v>
      </c>
    </row>
    <row r="20" spans="2:9" x14ac:dyDescent="0.3">
      <c r="B20" s="3">
        <v>32</v>
      </c>
      <c r="C20" s="4">
        <v>3.4050545234070602</v>
      </c>
      <c r="D20" s="4">
        <v>6.57156152984005</v>
      </c>
      <c r="E20" s="4">
        <v>0.93217703980375599</v>
      </c>
      <c r="F20" s="4">
        <v>3.1083333333333298</v>
      </c>
      <c r="G20" s="4">
        <v>6.1103282326820301</v>
      </c>
      <c r="H20" s="4">
        <v>0.94136341564756598</v>
      </c>
      <c r="I20" s="4">
        <v>1.09545990029181</v>
      </c>
    </row>
    <row r="21" spans="2:9" x14ac:dyDescent="0.3">
      <c r="B21" s="3">
        <v>33</v>
      </c>
      <c r="C21" s="4">
        <v>7.3970612024235001</v>
      </c>
      <c r="D21" s="4">
        <v>13.5283473831454</v>
      </c>
      <c r="E21" s="4">
        <v>0.95021378961970304</v>
      </c>
      <c r="F21" s="4">
        <v>7.99444444444444</v>
      </c>
      <c r="G21" s="4">
        <v>15.707835977979601</v>
      </c>
      <c r="H21" s="4">
        <v>0.93287994678794695</v>
      </c>
      <c r="I21" s="4">
        <v>0.92527520252691398</v>
      </c>
    </row>
    <row r="22" spans="2:9" x14ac:dyDescent="0.3">
      <c r="B22" s="3">
        <v>34</v>
      </c>
      <c r="C22" s="4">
        <v>4.8096826749623602</v>
      </c>
      <c r="D22" s="4">
        <v>9.3276605384935891</v>
      </c>
      <c r="E22" s="4">
        <v>0.95884645585208905</v>
      </c>
      <c r="F22" s="4">
        <v>4.1388888888888804</v>
      </c>
      <c r="G22" s="4">
        <v>7.8993670632525896</v>
      </c>
      <c r="H22" s="4">
        <v>0.97048475670454204</v>
      </c>
      <c r="I22" s="4">
        <v>1.1620709818701001</v>
      </c>
    </row>
    <row r="23" spans="2:9" x14ac:dyDescent="0.3">
      <c r="B23" s="3">
        <v>35</v>
      </c>
      <c r="C23" s="4">
        <v>6.2377009594717299</v>
      </c>
      <c r="D23" s="4">
        <v>11.3406269145426</v>
      </c>
      <c r="E23" s="4">
        <v>0.94273116584879602</v>
      </c>
      <c r="F23" s="4">
        <v>5.95</v>
      </c>
      <c r="G23" s="4">
        <v>11.4387256477478</v>
      </c>
      <c r="H23" s="4">
        <v>0.94173610648435102</v>
      </c>
      <c r="I23" s="4">
        <v>1.0483531024322199</v>
      </c>
    </row>
    <row r="24" spans="2:9" x14ac:dyDescent="0.3">
      <c r="B24" s="3">
        <v>37</v>
      </c>
      <c r="C24" s="4">
        <v>11.1189763805589</v>
      </c>
      <c r="D24" s="4">
        <v>20.809661657829601</v>
      </c>
      <c r="E24" s="4">
        <v>0.947042225033637</v>
      </c>
      <c r="F24" s="4">
        <v>13.9291666666666</v>
      </c>
      <c r="G24" s="4">
        <v>26.4064649070807</v>
      </c>
      <c r="H24" s="4">
        <v>0.91472529575688999</v>
      </c>
      <c r="I24" s="4">
        <v>0.79825137042600802</v>
      </c>
    </row>
    <row r="25" spans="2:9" x14ac:dyDescent="0.3">
      <c r="B25" s="3">
        <v>38</v>
      </c>
      <c r="C25" s="4">
        <v>4.2403151704566904</v>
      </c>
      <c r="D25" s="4">
        <v>8.4889977480028005</v>
      </c>
      <c r="E25" s="4">
        <v>0.93163379848087002</v>
      </c>
      <c r="F25" s="4">
        <v>3.7847222222222201</v>
      </c>
      <c r="G25" s="4">
        <v>7.3806240326351196</v>
      </c>
      <c r="H25" s="4">
        <v>0.94832091923113104</v>
      </c>
      <c r="I25" s="4">
        <v>1.1203768523775499</v>
      </c>
    </row>
    <row r="26" spans="2:9" x14ac:dyDescent="0.3">
      <c r="B26" s="3">
        <v>39</v>
      </c>
      <c r="C26" s="4">
        <v>6.3557346026439099</v>
      </c>
      <c r="D26" s="4">
        <v>12.109044870357</v>
      </c>
      <c r="E26" s="4">
        <v>0.93815195295781495</v>
      </c>
      <c r="F26" s="4">
        <v>5.1986111111111102</v>
      </c>
      <c r="G26" s="4">
        <v>10.5106427544233</v>
      </c>
      <c r="H26" s="4">
        <v>0.95340226965118402</v>
      </c>
      <c r="I26" s="4">
        <v>1.2225831990124501</v>
      </c>
    </row>
    <row r="27" spans="2:9" x14ac:dyDescent="0.3">
      <c r="B27" s="3">
        <v>40</v>
      </c>
      <c r="C27" s="4">
        <v>5.8668709804691801</v>
      </c>
      <c r="D27" s="4">
        <v>10.870129685035399</v>
      </c>
      <c r="E27" s="4">
        <v>0.96180487409616999</v>
      </c>
      <c r="F27" s="4">
        <v>6.5319444444444397</v>
      </c>
      <c r="G27" s="4">
        <v>13.6264142996852</v>
      </c>
      <c r="H27" s="4">
        <v>0.93997921469012102</v>
      </c>
      <c r="I27" s="4">
        <v>0.89818139611690595</v>
      </c>
    </row>
    <row r="28" spans="2:9" x14ac:dyDescent="0.3">
      <c r="B28" s="3">
        <v>41</v>
      </c>
      <c r="C28" s="4">
        <v>6.9541271747401199</v>
      </c>
      <c r="D28" s="4">
        <v>13.010232989232801</v>
      </c>
      <c r="E28" s="4">
        <v>0.94114325670201504</v>
      </c>
      <c r="F28" s="4">
        <v>9.9486111111111093</v>
      </c>
      <c r="G28" s="4">
        <v>17.490830931281302</v>
      </c>
      <c r="H28" s="4">
        <v>0.89362318982759403</v>
      </c>
      <c r="I28" s="4">
        <v>0.69900482560559696</v>
      </c>
    </row>
    <row r="29" spans="2:9" x14ac:dyDescent="0.3">
      <c r="B29" s="3">
        <v>42</v>
      </c>
      <c r="C29" s="4">
        <v>4.7227270648461603</v>
      </c>
      <c r="D29" s="4">
        <v>9.3424186584687199</v>
      </c>
      <c r="E29" s="4">
        <v>0.95322694107829398</v>
      </c>
      <c r="F29" s="4">
        <v>4.5333333333333297</v>
      </c>
      <c r="G29" s="4">
        <v>8.8526518311997595</v>
      </c>
      <c r="H29" s="4">
        <v>0.95800245627625402</v>
      </c>
      <c r="I29" s="4">
        <v>1.0417780290101799</v>
      </c>
    </row>
    <row r="30" spans="2:9" x14ac:dyDescent="0.3">
      <c r="B30" s="3">
        <v>43</v>
      </c>
      <c r="C30" s="4">
        <v>7.7516935611429396</v>
      </c>
      <c r="D30" s="4">
        <v>14.831744644431399</v>
      </c>
      <c r="E30" s="4">
        <v>0.91358606150285804</v>
      </c>
      <c r="F30" s="4">
        <v>4.7041666666666604</v>
      </c>
      <c r="G30" s="4">
        <v>9.0556152008942306</v>
      </c>
      <c r="H30" s="4">
        <v>0.96778669832692099</v>
      </c>
      <c r="I30" s="4">
        <v>1.64783565515881</v>
      </c>
    </row>
    <row r="31" spans="2:9" x14ac:dyDescent="0.3">
      <c r="B31" s="3">
        <v>45</v>
      </c>
      <c r="C31" s="4">
        <v>3.83538704835619</v>
      </c>
      <c r="D31" s="4">
        <v>7.5312400959623202</v>
      </c>
      <c r="E31" s="4">
        <v>0.95206665934497503</v>
      </c>
      <c r="F31" s="4">
        <v>4.67638888888888</v>
      </c>
      <c r="G31" s="4">
        <v>9.18581333724274</v>
      </c>
      <c r="H31" s="4">
        <v>0.92869172291769297</v>
      </c>
      <c r="I31" s="4">
        <v>0.82015998658047395</v>
      </c>
    </row>
    <row r="32" spans="2:9" x14ac:dyDescent="0.3">
      <c r="B32" s="3">
        <v>49</v>
      </c>
      <c r="C32" s="4">
        <v>6.7223474463833597</v>
      </c>
      <c r="D32" s="4">
        <v>12.961964742176701</v>
      </c>
      <c r="E32" s="4">
        <v>0.93404511621491204</v>
      </c>
      <c r="F32" s="4">
        <v>6.3375000000000004</v>
      </c>
      <c r="G32" s="4">
        <v>12.0957407563342</v>
      </c>
      <c r="H32" s="4">
        <v>0.94256584601707505</v>
      </c>
      <c r="I32" s="4">
        <v>1.0607254353267599</v>
      </c>
    </row>
    <row r="33" spans="2:9" x14ac:dyDescent="0.3">
      <c r="B33" s="3">
        <v>50</v>
      </c>
      <c r="C33" s="4">
        <v>3.75922481035935</v>
      </c>
      <c r="D33" s="4">
        <v>7.0977965460357497</v>
      </c>
      <c r="E33" s="4">
        <v>0.95458028443589704</v>
      </c>
      <c r="F33" s="4">
        <v>3.5833333333333299</v>
      </c>
      <c r="G33" s="4">
        <v>6.9167670675443897</v>
      </c>
      <c r="H33" s="4">
        <v>0.95686760058842102</v>
      </c>
      <c r="I33" s="4">
        <v>1.0490859935886501</v>
      </c>
    </row>
    <row r="34" spans="2:9" x14ac:dyDescent="0.3">
      <c r="B34" s="3">
        <v>51</v>
      </c>
      <c r="C34" s="4">
        <v>4.8255507773403803</v>
      </c>
      <c r="D34" s="4">
        <v>9.1198864175698393</v>
      </c>
      <c r="E34" s="4">
        <v>0.96117057731793998</v>
      </c>
      <c r="F34" s="4">
        <v>4.9472222222222202</v>
      </c>
      <c r="G34" s="4">
        <v>9.4698351505069898</v>
      </c>
      <c r="H34" s="4">
        <v>0.95813347526783899</v>
      </c>
      <c r="I34" s="4">
        <v>0.97540610883915702</v>
      </c>
    </row>
    <row r="35" spans="2:9" x14ac:dyDescent="0.3">
      <c r="B35" s="3">
        <v>52</v>
      </c>
      <c r="C35" s="4">
        <v>6.9289519696333803</v>
      </c>
      <c r="D35" s="4">
        <v>13.0719040966358</v>
      </c>
      <c r="E35" s="4">
        <v>0.84512063302115104</v>
      </c>
      <c r="F35" s="4">
        <v>4.6958333333333302</v>
      </c>
      <c r="G35" s="4">
        <v>9.1794607684765399</v>
      </c>
      <c r="H35" s="4">
        <v>0.92362518009571304</v>
      </c>
      <c r="I35" s="4">
        <v>1.4755532144738299</v>
      </c>
    </row>
    <row r="36" spans="2:9" x14ac:dyDescent="0.3">
      <c r="B36" s="3">
        <v>53</v>
      </c>
      <c r="C36" s="4">
        <v>3.3666367715180301</v>
      </c>
      <c r="D36" s="4">
        <v>6.4015006650690802</v>
      </c>
      <c r="E36" s="4">
        <v>0.95373406661570304</v>
      </c>
      <c r="F36" s="4">
        <v>3.11805555555555</v>
      </c>
      <c r="G36" s="4">
        <v>5.9732040536605302</v>
      </c>
      <c r="H36" s="4">
        <v>0.95971786870961495</v>
      </c>
      <c r="I36" s="4">
        <v>1.0797231516672501</v>
      </c>
    </row>
    <row r="37" spans="2:9" x14ac:dyDescent="0.3">
      <c r="B37" s="3">
        <v>54</v>
      </c>
      <c r="C37" s="4">
        <v>3.5932186814955802</v>
      </c>
      <c r="D37" s="4">
        <v>7.1928482135829803</v>
      </c>
      <c r="E37" s="4">
        <v>0.94097272432340096</v>
      </c>
      <c r="F37" s="4">
        <v>4.23888888888888</v>
      </c>
      <c r="G37" s="4">
        <v>8.4297752704986806</v>
      </c>
      <c r="H37" s="4">
        <v>0.91892574963240803</v>
      </c>
      <c r="I37" s="4">
        <v>0.84767937440262797</v>
      </c>
    </row>
    <row r="38" spans="2:9" x14ac:dyDescent="0.3">
      <c r="B38" s="3">
        <v>55</v>
      </c>
      <c r="C38" s="4">
        <v>6.3383317449375403</v>
      </c>
      <c r="D38" s="4">
        <v>12.407399580693699</v>
      </c>
      <c r="E38" s="4">
        <v>0.94270441608503797</v>
      </c>
      <c r="F38" s="4">
        <v>7.1333333333333302</v>
      </c>
      <c r="G38" s="4">
        <v>14.0037693338456</v>
      </c>
      <c r="H38" s="4">
        <v>0.92701232843606995</v>
      </c>
      <c r="I38" s="4">
        <v>0.888551179196852</v>
      </c>
    </row>
    <row r="39" spans="2:9" x14ac:dyDescent="0.3">
      <c r="B39" s="3">
        <v>56</v>
      </c>
      <c r="C39" s="4">
        <v>5.7623841063235703</v>
      </c>
      <c r="D39" s="4">
        <v>10.4016673790487</v>
      </c>
      <c r="E39" s="4">
        <v>0.92484799332072598</v>
      </c>
      <c r="F39" s="4">
        <v>6.93611111111111</v>
      </c>
      <c r="G39" s="4">
        <v>12.9081154489896</v>
      </c>
      <c r="H39" s="4">
        <v>0.88426616624538001</v>
      </c>
      <c r="I39" s="4">
        <v>0.83078024760772395</v>
      </c>
    </row>
    <row r="40" spans="2:9" x14ac:dyDescent="0.3">
      <c r="B40" s="3">
        <v>58</v>
      </c>
      <c r="C40" s="4">
        <v>6.8386637248882201</v>
      </c>
      <c r="D40" s="4">
        <v>13.3704014985837</v>
      </c>
      <c r="E40" s="4">
        <v>0.89366692512018298</v>
      </c>
      <c r="F40" s="4">
        <v>3.95138888888888</v>
      </c>
      <c r="G40" s="4">
        <v>7.5418278067499402</v>
      </c>
      <c r="H40" s="4">
        <v>0.96616760832271598</v>
      </c>
      <c r="I40" s="4">
        <v>1.7306987282669599</v>
      </c>
    </row>
    <row r="41" spans="2:9" x14ac:dyDescent="0.3">
      <c r="B41" s="3">
        <v>60</v>
      </c>
      <c r="C41" s="4">
        <v>5.7011594405548403</v>
      </c>
      <c r="D41" s="4">
        <v>10.6148564369217</v>
      </c>
      <c r="E41" s="4">
        <v>0.94355454958934604</v>
      </c>
      <c r="F41" s="4">
        <v>6.1944444444444402</v>
      </c>
      <c r="G41" s="4">
        <v>11.622177076606601</v>
      </c>
      <c r="H41" s="4">
        <v>0.93233319524957403</v>
      </c>
      <c r="I41" s="4">
        <v>0.920366546457283</v>
      </c>
    </row>
    <row r="42" spans="2:9" x14ac:dyDescent="0.3">
      <c r="B42" s="3">
        <v>61</v>
      </c>
      <c r="C42" s="4">
        <v>5.8521355932542596</v>
      </c>
      <c r="D42" s="4">
        <v>11.0723954762059</v>
      </c>
      <c r="E42" s="4">
        <v>0.941799971833436</v>
      </c>
      <c r="F42" s="4">
        <v>5.2055555555555504</v>
      </c>
      <c r="G42" s="4">
        <v>10.286587815640701</v>
      </c>
      <c r="H42" s="4">
        <v>0.94976774296285604</v>
      </c>
      <c r="I42" s="4">
        <v>1.12420961236474</v>
      </c>
    </row>
    <row r="43" spans="2:9" x14ac:dyDescent="0.3">
      <c r="B43" s="3">
        <v>62</v>
      </c>
      <c r="C43" s="4">
        <v>4.5969153750775602</v>
      </c>
      <c r="D43" s="4">
        <v>9.3023189983751493</v>
      </c>
      <c r="E43" s="4">
        <v>0.92924886984103106</v>
      </c>
      <c r="F43" s="4">
        <v>6.2333333333333298</v>
      </c>
      <c r="G43" s="4">
        <v>12.358083274610999</v>
      </c>
      <c r="H43" s="4">
        <v>0.87513142387985299</v>
      </c>
      <c r="I43" s="4">
        <v>0.73747305482527803</v>
      </c>
    </row>
    <row r="44" spans="2:9" x14ac:dyDescent="0.3">
      <c r="B44" s="3">
        <v>63</v>
      </c>
      <c r="C44" s="4">
        <v>6.0291346589471297</v>
      </c>
      <c r="D44" s="4">
        <v>11.772292049844401</v>
      </c>
      <c r="E44" s="4">
        <v>0.954452562178148</v>
      </c>
      <c r="F44" s="4">
        <v>10.1875</v>
      </c>
      <c r="G44" s="4">
        <v>19.339259149317002</v>
      </c>
      <c r="H44" s="4">
        <v>0.87708027994939397</v>
      </c>
      <c r="I44" s="4">
        <v>0.59181689903775503</v>
      </c>
    </row>
    <row r="45" spans="2:9" x14ac:dyDescent="0.3">
      <c r="B45" s="3">
        <v>64</v>
      </c>
      <c r="C45" s="4">
        <v>6.0936855323804799</v>
      </c>
      <c r="D45" s="4">
        <v>12.148654749221199</v>
      </c>
      <c r="E45" s="4">
        <v>0.88655781255426502</v>
      </c>
      <c r="F45" s="4">
        <v>4.9180555555555499</v>
      </c>
      <c r="G45" s="4">
        <v>10.2462052596179</v>
      </c>
      <c r="H45" s="4">
        <v>0.91930542929440295</v>
      </c>
      <c r="I45" s="4">
        <v>1.23904365527081</v>
      </c>
    </row>
    <row r="46" spans="2:9" x14ac:dyDescent="0.3">
      <c r="B46" s="3">
        <v>65</v>
      </c>
      <c r="C46" s="4">
        <v>6.0193912603061497</v>
      </c>
      <c r="D46" s="4">
        <v>11.3724103075853</v>
      </c>
      <c r="E46" s="4">
        <v>0.95081351217732901</v>
      </c>
      <c r="F46" s="4">
        <v>6.2236111111111097</v>
      </c>
      <c r="G46" s="4">
        <v>12.2352518931523</v>
      </c>
      <c r="H46" s="4">
        <v>0.94306666796254601</v>
      </c>
      <c r="I46" s="4">
        <v>0.96718627704093496</v>
      </c>
    </row>
    <row r="47" spans="2:9" x14ac:dyDescent="0.3">
      <c r="B47" s="3">
        <v>66</v>
      </c>
      <c r="C47" s="4">
        <v>5.2947534158837399</v>
      </c>
      <c r="D47" s="4">
        <v>9.9234168771546507</v>
      </c>
      <c r="E47" s="4">
        <v>0.91662677196295905</v>
      </c>
      <c r="F47" s="4">
        <v>3.6069444444444398</v>
      </c>
      <c r="G47" s="4">
        <v>7.0954797817577697</v>
      </c>
      <c r="H47" s="4">
        <v>0.95737467746990601</v>
      </c>
      <c r="I47" s="4">
        <v>1.4679331765253301</v>
      </c>
    </row>
    <row r="48" spans="2:9" x14ac:dyDescent="0.3">
      <c r="B48" s="3">
        <v>67</v>
      </c>
      <c r="C48" s="4">
        <v>3.1809828789838899</v>
      </c>
      <c r="D48" s="4">
        <v>6.05885719744653</v>
      </c>
      <c r="E48" s="4">
        <v>0.93706390341655998</v>
      </c>
      <c r="F48" s="4">
        <v>3.1902777777777702</v>
      </c>
      <c r="G48" s="4">
        <v>6.1251984094848302</v>
      </c>
      <c r="H48" s="4">
        <v>0.93567812547362395</v>
      </c>
      <c r="I48" s="4">
        <v>0.99708649232407698</v>
      </c>
    </row>
    <row r="49" spans="2:9" x14ac:dyDescent="0.3">
      <c r="B49" s="3">
        <v>68</v>
      </c>
      <c r="C49" s="4">
        <v>10.8467332558994</v>
      </c>
      <c r="D49" s="4">
        <v>20.526976963154901</v>
      </c>
      <c r="E49" s="4">
        <v>0.91966679497134296</v>
      </c>
      <c r="F49" s="4">
        <v>12.1458333333333</v>
      </c>
      <c r="G49" s="4">
        <v>25.906053561110198</v>
      </c>
      <c r="H49" s="4">
        <v>0.87204783975318401</v>
      </c>
      <c r="I49" s="4">
        <v>0.89304150305861196</v>
      </c>
    </row>
    <row r="50" spans="2:9" x14ac:dyDescent="0.3">
      <c r="B50" s="3">
        <v>69</v>
      </c>
      <c r="C50" s="4">
        <v>3.49220807799919</v>
      </c>
      <c r="D50" s="4">
        <v>7.1625995384495402</v>
      </c>
      <c r="E50" s="4">
        <v>0.94432648039196598</v>
      </c>
      <c r="F50" s="4">
        <v>3.61805555555555</v>
      </c>
      <c r="G50" s="4">
        <v>7.1356888634213496</v>
      </c>
      <c r="H50" s="4">
        <v>0.94474403759647496</v>
      </c>
      <c r="I50" s="4">
        <v>0.96521682002281095</v>
      </c>
    </row>
    <row r="51" spans="2:9" x14ac:dyDescent="0.3">
      <c r="B51" s="3">
        <v>71</v>
      </c>
      <c r="C51" s="4">
        <v>4.7650407321508501</v>
      </c>
      <c r="D51" s="4">
        <v>9.5482655415618201</v>
      </c>
      <c r="E51" s="4">
        <v>0.94573107703989001</v>
      </c>
      <c r="F51" s="4">
        <v>5.2222222222222197</v>
      </c>
      <c r="G51" s="4">
        <v>9.8010770383214005</v>
      </c>
      <c r="H51" s="4">
        <v>0.94281925211394702</v>
      </c>
      <c r="I51" s="4">
        <v>0.91245460828420599</v>
      </c>
    </row>
    <row r="52" spans="2:9" x14ac:dyDescent="0.3">
      <c r="B52" s="3">
        <v>72</v>
      </c>
      <c r="C52" s="4">
        <v>4.2662968577349796</v>
      </c>
      <c r="D52" s="4">
        <v>8.4544346244934108</v>
      </c>
      <c r="E52" s="4">
        <v>0.96099263715537797</v>
      </c>
      <c r="F52" s="4">
        <v>4.3611111111111098</v>
      </c>
      <c r="G52" s="4">
        <v>8.6781974574856893</v>
      </c>
      <c r="H52" s="4">
        <v>0.95890050319009701</v>
      </c>
      <c r="I52" s="4">
        <v>0.97825915209209902</v>
      </c>
    </row>
    <row r="53" spans="2:9" x14ac:dyDescent="0.3">
      <c r="B53" s="3">
        <v>73</v>
      </c>
      <c r="C53" s="4">
        <v>2.8604051021361498</v>
      </c>
      <c r="D53" s="4">
        <v>5.9632821512729404</v>
      </c>
      <c r="E53" s="4">
        <v>0.834146424000898</v>
      </c>
      <c r="F53" s="4">
        <v>6.3833333333333302</v>
      </c>
      <c r="G53" s="4">
        <v>12.1217206332727</v>
      </c>
      <c r="H53" s="4">
        <v>0.31469695028155498</v>
      </c>
      <c r="I53" s="4">
        <v>0.44810523793255602</v>
      </c>
    </row>
    <row r="54" spans="2:9" x14ac:dyDescent="0.3">
      <c r="B54" s="3">
        <v>74</v>
      </c>
      <c r="C54" s="4">
        <v>2.2633761003845199</v>
      </c>
      <c r="D54" s="4">
        <v>4.5958407676128399</v>
      </c>
      <c r="E54" s="4">
        <v>0.946824198587078</v>
      </c>
      <c r="F54" s="4">
        <v>2.7749999999999999</v>
      </c>
      <c r="G54" s="4">
        <v>5.6129809865663596</v>
      </c>
      <c r="H54" s="4">
        <v>0.92068209412873403</v>
      </c>
      <c r="I54" s="4">
        <v>0.81563102716559299</v>
      </c>
    </row>
    <row r="55" spans="2:9" x14ac:dyDescent="0.3">
      <c r="B55" s="3">
        <v>75</v>
      </c>
      <c r="C55" s="4">
        <v>5.8534265550389497</v>
      </c>
      <c r="D55" s="4">
        <v>11.8317626639534</v>
      </c>
      <c r="E55" s="4">
        <v>0.93405955227863702</v>
      </c>
      <c r="F55" s="4">
        <v>8.0805555555555504</v>
      </c>
      <c r="G55" s="4">
        <v>16.3333333333333</v>
      </c>
      <c r="H55" s="4">
        <v>0.87433838317256296</v>
      </c>
      <c r="I55" s="4">
        <v>0.72438417319148296</v>
      </c>
    </row>
  </sheetData>
  <mergeCells count="4">
    <mergeCell ref="C2:E2"/>
    <mergeCell ref="F2:H2"/>
    <mergeCell ref="L3:N3"/>
    <mergeCell ref="K1:N1"/>
  </mergeCells>
  <conditionalFormatting sqref="I4:I55">
    <cfRule type="cellIs" dxfId="0" priority="1" operator="greaterThan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tickets_test_results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2023-05-04T06:37:24Z</dcterms:created>
  <dcterms:modified xsi:type="dcterms:W3CDTF">2023-05-04T07:06:03Z</dcterms:modified>
</cp:coreProperties>
</file>