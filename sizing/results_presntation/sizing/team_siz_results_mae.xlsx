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"/>
    </mc:Choice>
  </mc:AlternateContent>
  <xr:revisionPtr revIDLastSave="0" documentId="13_ncr:1_{A21974EB-029A-4557-8028-0471ACAFF8C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lts_data" sheetId="1" r:id="rId1"/>
  </sheets>
  <definedNames>
    <definedName name="_xlchart.v1.0" hidden="1">results_data!$B$4:$B$55</definedName>
    <definedName name="_xlchart.v1.1" hidden="1">results_data!$F$3</definedName>
    <definedName name="_xlchart.v1.10" hidden="1">results_data!$F$3</definedName>
    <definedName name="_xlchart.v1.11" hidden="1">results_data!$F$4:$F$55</definedName>
    <definedName name="_xlchart.v1.12" hidden="1">results_data!$G$3</definedName>
    <definedName name="_xlchart.v1.13" hidden="1">results_data!$G$4:$G$55</definedName>
    <definedName name="_xlchart.v1.14" hidden="1">results_data!$H$3</definedName>
    <definedName name="_xlchart.v1.15" hidden="1">results_data!$H$4:$H$55</definedName>
    <definedName name="_xlchart.v1.16" hidden="1">results_data!$I$3</definedName>
    <definedName name="_xlchart.v1.17" hidden="1">results_data!$I$4:$I$55</definedName>
    <definedName name="_xlchart.v1.2" hidden="1">results_data!$F$4:$F$55</definedName>
    <definedName name="_xlchart.v1.3" hidden="1">results_data!$G$3</definedName>
    <definedName name="_xlchart.v1.4" hidden="1">results_data!$G$4:$G$55</definedName>
    <definedName name="_xlchart.v1.5" hidden="1">results_data!$H$3</definedName>
    <definedName name="_xlchart.v1.6" hidden="1">results_data!$H$4:$H$55</definedName>
    <definedName name="_xlchart.v1.7" hidden="1">results_data!$I$3</definedName>
    <definedName name="_xlchart.v1.8" hidden="1">results_data!$I$4:$I$55</definedName>
    <definedName name="_xlchart.v1.9" hidden="1">results_data!$B$4:$B$55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N10" i="1"/>
  <c r="O10" i="1"/>
  <c r="L10" i="1"/>
  <c r="M9" i="1"/>
  <c r="N9" i="1"/>
  <c r="O9" i="1"/>
  <c r="L9" i="1"/>
  <c r="M8" i="1"/>
  <c r="N8" i="1"/>
  <c r="O8" i="1"/>
  <c r="L8" i="1"/>
  <c r="M7" i="1"/>
  <c r="N7" i="1"/>
  <c r="O7" i="1"/>
  <c r="L7" i="1"/>
</calcChain>
</file>

<file path=xl/sharedStrings.xml><?xml version="1.0" encoding="utf-8"?>
<sst xmlns="http://schemas.openxmlformats.org/spreadsheetml/2006/main" count="20" uniqueCount="19">
  <si>
    <t>Store ID</t>
  </si>
  <si>
    <t>Min</t>
  </si>
  <si>
    <t>Max</t>
  </si>
  <si>
    <t>Mean</t>
  </si>
  <si>
    <t>Median</t>
  </si>
  <si>
    <t>Raw</t>
  </si>
  <si>
    <t>Round</t>
  </si>
  <si>
    <t>Floor</t>
  </si>
  <si>
    <t>Ceil</t>
  </si>
  <si>
    <t>MAE</t>
  </si>
  <si>
    <t xml:space="preserve"> </t>
  </si>
  <si>
    <t>Team Sizing</t>
  </si>
  <si>
    <t>Nº Hours</t>
  </si>
  <si>
    <t>RAW</t>
  </si>
  <si>
    <t>ROUND</t>
  </si>
  <si>
    <t>FLOOR</t>
  </si>
  <si>
    <t>CEIL</t>
  </si>
  <si>
    <t>Nº Hours Train</t>
  </si>
  <si>
    <t>Nº Hours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</si>
</sst>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/>
    <xf numFmtId="164" fontId="0" fillId="0" borderId="10" xfId="0" applyNumberFormat="1" applyBorder="1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64" fontId="16" fillId="0" borderId="12" xfId="0" applyNumberFormat="1" applyFont="1" applyBorder="1" applyAlignment="1">
      <alignment horizontal="center"/>
    </xf>
    <xf numFmtId="164" fontId="16" fillId="0" borderId="13" xfId="0" applyNumberFormat="1" applyFont="1" applyBorder="1" applyAlignment="1">
      <alignment horizontal="center"/>
    </xf>
    <xf numFmtId="164" fontId="16" fillId="0" borderId="14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MAE 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results_data!$F$3</c:f>
              <c:strCache>
                <c:ptCount val="1"/>
                <c:pt idx="0">
                  <c:v>RAW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results_data!$B$4:$B$55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results_data!$F$4:$F$55</c:f>
              <c:numCache>
                <c:formatCode>0.000</c:formatCode>
                <c:ptCount val="52"/>
                <c:pt idx="0">
                  <c:v>0.148529628380277</c:v>
                </c:pt>
                <c:pt idx="1">
                  <c:v>0.10316603465440601</c:v>
                </c:pt>
                <c:pt idx="2">
                  <c:v>0.12019505818856401</c:v>
                </c:pt>
                <c:pt idx="3">
                  <c:v>0.1317592284976</c:v>
                </c:pt>
                <c:pt idx="4">
                  <c:v>8.2126777983920804E-2</c:v>
                </c:pt>
                <c:pt idx="5">
                  <c:v>0.133956225049185</c:v>
                </c:pt>
                <c:pt idx="6">
                  <c:v>0.133743056835637</c:v>
                </c:pt>
                <c:pt idx="7">
                  <c:v>0.109495786675715</c:v>
                </c:pt>
                <c:pt idx="8">
                  <c:v>0.11395013823064699</c:v>
                </c:pt>
                <c:pt idx="9">
                  <c:v>0.104073877068557</c:v>
                </c:pt>
                <c:pt idx="10">
                  <c:v>0.15565210366694199</c:v>
                </c:pt>
                <c:pt idx="11">
                  <c:v>0.21723604818953601</c:v>
                </c:pt>
                <c:pt idx="12">
                  <c:v>0.14021111525550101</c:v>
                </c:pt>
                <c:pt idx="13">
                  <c:v>9.5957910906298002E-2</c:v>
                </c:pt>
                <c:pt idx="14">
                  <c:v>9.9581634899666593E-2</c:v>
                </c:pt>
                <c:pt idx="15">
                  <c:v>0.12745711649626201</c:v>
                </c:pt>
                <c:pt idx="16">
                  <c:v>0.181721551459293</c:v>
                </c:pt>
                <c:pt idx="17">
                  <c:v>0.105294127747252</c:v>
                </c:pt>
                <c:pt idx="18">
                  <c:v>8.8377436466814605E-2</c:v>
                </c:pt>
                <c:pt idx="19">
                  <c:v>7.9880614439324094E-2</c:v>
                </c:pt>
                <c:pt idx="20">
                  <c:v>7.7038799661876503E-2</c:v>
                </c:pt>
                <c:pt idx="21">
                  <c:v>0.17166731266149801</c:v>
                </c:pt>
                <c:pt idx="22">
                  <c:v>0.128843690666059</c:v>
                </c:pt>
                <c:pt idx="23">
                  <c:v>0.12546307962994399</c:v>
                </c:pt>
                <c:pt idx="24">
                  <c:v>0.147155483870967</c:v>
                </c:pt>
                <c:pt idx="25">
                  <c:v>0.120782326125793</c:v>
                </c:pt>
                <c:pt idx="26">
                  <c:v>0.149049157130552</c:v>
                </c:pt>
                <c:pt idx="27">
                  <c:v>0.168228512109311</c:v>
                </c:pt>
                <c:pt idx="28">
                  <c:v>0.15080715821812499</c:v>
                </c:pt>
                <c:pt idx="29">
                  <c:v>0.119675240562546</c:v>
                </c:pt>
                <c:pt idx="30">
                  <c:v>0.10131878988708801</c:v>
                </c:pt>
                <c:pt idx="31">
                  <c:v>0.13640700304301301</c:v>
                </c:pt>
                <c:pt idx="32">
                  <c:v>0.147396270252487</c:v>
                </c:pt>
                <c:pt idx="33">
                  <c:v>0.18997858988556601</c:v>
                </c:pt>
                <c:pt idx="34">
                  <c:v>0.12766953392927399</c:v>
                </c:pt>
                <c:pt idx="35">
                  <c:v>0.21209644970414199</c:v>
                </c:pt>
                <c:pt idx="36">
                  <c:v>0.120834736807344</c:v>
                </c:pt>
                <c:pt idx="37">
                  <c:v>0.153605012976754</c:v>
                </c:pt>
                <c:pt idx="38">
                  <c:v>0.113256344086021</c:v>
                </c:pt>
                <c:pt idx="39">
                  <c:v>0.15608511413988399</c:v>
                </c:pt>
                <c:pt idx="40">
                  <c:v>0.10720866359447</c:v>
                </c:pt>
                <c:pt idx="41">
                  <c:v>0.14599813558285901</c:v>
                </c:pt>
                <c:pt idx="42">
                  <c:v>0.13818919565462101</c:v>
                </c:pt>
                <c:pt idx="43">
                  <c:v>0.16571131080389101</c:v>
                </c:pt>
                <c:pt idx="44">
                  <c:v>0.24001156550703101</c:v>
                </c:pt>
                <c:pt idx="45">
                  <c:v>0.14968989636625901</c:v>
                </c:pt>
                <c:pt idx="46">
                  <c:v>0.20501334869431601</c:v>
                </c:pt>
                <c:pt idx="47">
                  <c:v>0.20901592421915</c:v>
                </c:pt>
                <c:pt idx="48">
                  <c:v>0.25032587938150602</c:v>
                </c:pt>
                <c:pt idx="49">
                  <c:v>0.26648499568221001</c:v>
                </c:pt>
                <c:pt idx="50">
                  <c:v>0.171861276886733</c:v>
                </c:pt>
                <c:pt idx="51">
                  <c:v>0.214976043048798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2-49C9-A991-FC3F112FECFB}"/>
            </c:ext>
          </c:extLst>
        </c:ser>
        <c:ser>
          <c:idx val="1"/>
          <c:order val="1"/>
          <c:tx>
            <c:strRef>
              <c:f>results_data!$G$3</c:f>
              <c:strCache>
                <c:ptCount val="1"/>
                <c:pt idx="0">
                  <c:v>ROUND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results_data!$B$4:$B$55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results_data!$G$4:$G$55</c:f>
              <c:numCache>
                <c:formatCode>0.000</c:formatCode>
                <c:ptCount val="52"/>
                <c:pt idx="0">
                  <c:v>0.13459268004722499</c:v>
                </c:pt>
                <c:pt idx="1">
                  <c:v>7.3643410852713101E-2</c:v>
                </c:pt>
                <c:pt idx="2">
                  <c:v>9.3270365997638702E-2</c:v>
                </c:pt>
                <c:pt idx="3">
                  <c:v>0.11111111111111099</c:v>
                </c:pt>
                <c:pt idx="4">
                  <c:v>7.6741440377804004E-2</c:v>
                </c:pt>
                <c:pt idx="5">
                  <c:v>0.110709987966305</c:v>
                </c:pt>
                <c:pt idx="6">
                  <c:v>0.107096774193548</c:v>
                </c:pt>
                <c:pt idx="7">
                  <c:v>9.3824228028503501E-2</c:v>
                </c:pt>
                <c:pt idx="8">
                  <c:v>0.10189573459715601</c:v>
                </c:pt>
                <c:pt idx="9">
                  <c:v>9.6926713947990503E-2</c:v>
                </c:pt>
                <c:pt idx="10">
                  <c:v>0.13161290322580599</c:v>
                </c:pt>
                <c:pt idx="11">
                  <c:v>0.17312661498708001</c:v>
                </c:pt>
                <c:pt idx="12">
                  <c:v>0.131853785900783</c:v>
                </c:pt>
                <c:pt idx="13">
                  <c:v>8.12903225806451E-2</c:v>
                </c:pt>
                <c:pt idx="14">
                  <c:v>7.2655217965653898E-2</c:v>
                </c:pt>
                <c:pt idx="15">
                  <c:v>0.111506524317912</c:v>
                </c:pt>
                <c:pt idx="16">
                  <c:v>0.152258064516129</c:v>
                </c:pt>
                <c:pt idx="17">
                  <c:v>8.4134615384615294E-2</c:v>
                </c:pt>
                <c:pt idx="18">
                  <c:v>7.2538860103626895E-2</c:v>
                </c:pt>
                <c:pt idx="19">
                  <c:v>6.19354838709677E-2</c:v>
                </c:pt>
                <c:pt idx="20">
                  <c:v>6.6272189349112401E-2</c:v>
                </c:pt>
                <c:pt idx="21">
                  <c:v>0.145994832041343</c:v>
                </c:pt>
                <c:pt idx="22">
                  <c:v>0.11004784688995201</c:v>
                </c:pt>
                <c:pt idx="23">
                  <c:v>9.8927294398092905E-2</c:v>
                </c:pt>
                <c:pt idx="24">
                  <c:v>0.132903225806451</c:v>
                </c:pt>
                <c:pt idx="25">
                  <c:v>9.9611901681759304E-2</c:v>
                </c:pt>
                <c:pt idx="26">
                  <c:v>0.121447028423772</c:v>
                </c:pt>
                <c:pt idx="27">
                  <c:v>0.12886597938144301</c:v>
                </c:pt>
                <c:pt idx="28">
                  <c:v>0.13677419354838699</c:v>
                </c:pt>
                <c:pt idx="29">
                  <c:v>9.8445595854922199E-2</c:v>
                </c:pt>
                <c:pt idx="30">
                  <c:v>8.6340206185566995E-2</c:v>
                </c:pt>
                <c:pt idx="31">
                  <c:v>0.11528497409326401</c:v>
                </c:pt>
                <c:pt idx="32">
                  <c:v>0.11787564766839299</c:v>
                </c:pt>
                <c:pt idx="33">
                  <c:v>0.14341085271317799</c:v>
                </c:pt>
                <c:pt idx="34">
                  <c:v>0.106257378984651</c:v>
                </c:pt>
                <c:pt idx="35">
                  <c:v>0.16923076923076899</c:v>
                </c:pt>
                <c:pt idx="36">
                  <c:v>9.2926490984743398E-2</c:v>
                </c:pt>
                <c:pt idx="37">
                  <c:v>0.13388625592417</c:v>
                </c:pt>
                <c:pt idx="38">
                  <c:v>8.5161290322580602E-2</c:v>
                </c:pt>
                <c:pt idx="39">
                  <c:v>0.12838633686690201</c:v>
                </c:pt>
                <c:pt idx="40">
                  <c:v>8.12903225806451E-2</c:v>
                </c:pt>
                <c:pt idx="41">
                  <c:v>0.116816431322207</c:v>
                </c:pt>
                <c:pt idx="42">
                  <c:v>0.113475177304964</c:v>
                </c:pt>
                <c:pt idx="43">
                  <c:v>0.13806451612903201</c:v>
                </c:pt>
                <c:pt idx="44">
                  <c:v>0.20077720207253799</c:v>
                </c:pt>
                <c:pt idx="45">
                  <c:v>0.123636363636363</c:v>
                </c:pt>
                <c:pt idx="46">
                  <c:v>0.16516129032258001</c:v>
                </c:pt>
                <c:pt idx="47">
                  <c:v>0.17290322580645101</c:v>
                </c:pt>
                <c:pt idx="48">
                  <c:v>0.20051746442432</c:v>
                </c:pt>
                <c:pt idx="49">
                  <c:v>0.215025906735751</c:v>
                </c:pt>
                <c:pt idx="50">
                  <c:v>0.12924281984334199</c:v>
                </c:pt>
                <c:pt idx="51">
                  <c:v>0.179566563467492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A2-49C9-A991-FC3F112FECFB}"/>
            </c:ext>
          </c:extLst>
        </c:ser>
        <c:ser>
          <c:idx val="2"/>
          <c:order val="2"/>
          <c:tx>
            <c:strRef>
              <c:f>results_data!$H$3</c:f>
              <c:strCache>
                <c:ptCount val="1"/>
                <c:pt idx="0">
                  <c:v>FLOOR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results_data!$B$4:$B$55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results_data!$H$4:$H$55</c:f>
              <c:numCache>
                <c:formatCode>0.000</c:formatCode>
                <c:ptCount val="52"/>
                <c:pt idx="0">
                  <c:v>0.19126328217237301</c:v>
                </c:pt>
                <c:pt idx="1">
                  <c:v>0.242894056847545</c:v>
                </c:pt>
                <c:pt idx="2">
                  <c:v>0.26682408500590299</c:v>
                </c:pt>
                <c:pt idx="3">
                  <c:v>0.19121447028423699</c:v>
                </c:pt>
                <c:pt idx="4">
                  <c:v>0.19598583234946801</c:v>
                </c:pt>
                <c:pt idx="5">
                  <c:v>0.17930204572803801</c:v>
                </c:pt>
                <c:pt idx="6">
                  <c:v>0.20258064516129001</c:v>
                </c:pt>
                <c:pt idx="7">
                  <c:v>0.18527315914489301</c:v>
                </c:pt>
                <c:pt idx="8">
                  <c:v>0.193127962085308</c:v>
                </c:pt>
                <c:pt idx="9">
                  <c:v>0.16784869976359301</c:v>
                </c:pt>
                <c:pt idx="10">
                  <c:v>0.309677419354838</c:v>
                </c:pt>
                <c:pt idx="11">
                  <c:v>0.339793281653746</c:v>
                </c:pt>
                <c:pt idx="12">
                  <c:v>0.25065274151436001</c:v>
                </c:pt>
                <c:pt idx="13">
                  <c:v>0.176774193548387</c:v>
                </c:pt>
                <c:pt idx="14">
                  <c:v>0.179656538969616</c:v>
                </c:pt>
                <c:pt idx="15">
                  <c:v>0.21589561091340401</c:v>
                </c:pt>
                <c:pt idx="16">
                  <c:v>0.33290322580645099</c:v>
                </c:pt>
                <c:pt idx="17">
                  <c:v>0.165865384615384</c:v>
                </c:pt>
                <c:pt idx="18">
                  <c:v>0.198186528497409</c:v>
                </c:pt>
                <c:pt idx="19">
                  <c:v>0.22967741935483801</c:v>
                </c:pt>
                <c:pt idx="20">
                  <c:v>0.16449704142011801</c:v>
                </c:pt>
                <c:pt idx="21">
                  <c:v>0.30232558139534799</c:v>
                </c:pt>
                <c:pt idx="22">
                  <c:v>0.26674641148325301</c:v>
                </c:pt>
                <c:pt idx="23">
                  <c:v>0.230035756853396</c:v>
                </c:pt>
                <c:pt idx="24">
                  <c:v>0.21806451612903199</c:v>
                </c:pt>
                <c:pt idx="25">
                  <c:v>0.209573091849935</c:v>
                </c:pt>
                <c:pt idx="26">
                  <c:v>0.31782945736434098</c:v>
                </c:pt>
                <c:pt idx="27">
                  <c:v>0.35180412371134001</c:v>
                </c:pt>
                <c:pt idx="28">
                  <c:v>0.28258064516129</c:v>
                </c:pt>
                <c:pt idx="29">
                  <c:v>0.28756476683937798</c:v>
                </c:pt>
                <c:pt idx="30">
                  <c:v>0.19201030927835</c:v>
                </c:pt>
                <c:pt idx="31">
                  <c:v>0.239637305699481</c:v>
                </c:pt>
                <c:pt idx="32">
                  <c:v>0.32642487046632102</c:v>
                </c:pt>
                <c:pt idx="33">
                  <c:v>0.30103359173126598</c:v>
                </c:pt>
                <c:pt idx="34">
                  <c:v>0.211334120425029</c:v>
                </c:pt>
                <c:pt idx="35">
                  <c:v>0.29230769230769199</c:v>
                </c:pt>
                <c:pt idx="36">
                  <c:v>0.23439667128987501</c:v>
                </c:pt>
                <c:pt idx="37">
                  <c:v>0.25236966824644502</c:v>
                </c:pt>
                <c:pt idx="38">
                  <c:v>0.24645161290322501</c:v>
                </c:pt>
                <c:pt idx="39">
                  <c:v>0.31802120141342699</c:v>
                </c:pt>
                <c:pt idx="40">
                  <c:v>0.196129032258064</c:v>
                </c:pt>
                <c:pt idx="41">
                  <c:v>0.236200256739409</c:v>
                </c:pt>
                <c:pt idx="42">
                  <c:v>0.27423167848699698</c:v>
                </c:pt>
                <c:pt idx="43">
                  <c:v>0.29290322580645101</c:v>
                </c:pt>
                <c:pt idx="44">
                  <c:v>0.42616580310880797</c:v>
                </c:pt>
                <c:pt idx="45">
                  <c:v>0.33212121212121198</c:v>
                </c:pt>
                <c:pt idx="46">
                  <c:v>0.304516129032258</c:v>
                </c:pt>
                <c:pt idx="47">
                  <c:v>0.45548387096774101</c:v>
                </c:pt>
                <c:pt idx="48">
                  <c:v>0.50582147477360895</c:v>
                </c:pt>
                <c:pt idx="49">
                  <c:v>0.43523316062176098</c:v>
                </c:pt>
                <c:pt idx="50">
                  <c:v>0.228459530026109</c:v>
                </c:pt>
                <c:pt idx="51">
                  <c:v>0.30650154798761597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A2-49C9-A991-FC3F112FECFB}"/>
            </c:ext>
          </c:extLst>
        </c:ser>
        <c:ser>
          <c:idx val="3"/>
          <c:order val="3"/>
          <c:tx>
            <c:strRef>
              <c:f>results_data!$I$3</c:f>
              <c:strCache>
                <c:ptCount val="1"/>
                <c:pt idx="0">
                  <c:v>CEIL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results_data!$B$4:$B$55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results_data!$I$4:$I$55</c:f>
              <c:numCache>
                <c:formatCode>0.000</c:formatCode>
                <c:ptCount val="52"/>
                <c:pt idx="0">
                  <c:v>0.23848878394332901</c:v>
                </c:pt>
                <c:pt idx="1">
                  <c:v>0.18217054263565799</c:v>
                </c:pt>
                <c:pt idx="2">
                  <c:v>0.23140495867768501</c:v>
                </c:pt>
                <c:pt idx="3">
                  <c:v>0.27002583979328099</c:v>
                </c:pt>
                <c:pt idx="4">
                  <c:v>0.11806375442739001</c:v>
                </c:pt>
                <c:pt idx="5">
                  <c:v>0.35018050541516199</c:v>
                </c:pt>
                <c:pt idx="6">
                  <c:v>0.28000000000000003</c:v>
                </c:pt>
                <c:pt idx="7">
                  <c:v>0.19121140142517801</c:v>
                </c:pt>
                <c:pt idx="8">
                  <c:v>0.17417061611374399</c:v>
                </c:pt>
                <c:pt idx="9">
                  <c:v>0.165484633569739</c:v>
                </c:pt>
                <c:pt idx="10">
                  <c:v>0.25161290322580598</c:v>
                </c:pt>
                <c:pt idx="11">
                  <c:v>0.45219638242894</c:v>
                </c:pt>
                <c:pt idx="12">
                  <c:v>0.227154046997389</c:v>
                </c:pt>
                <c:pt idx="13">
                  <c:v>0.174193548387096</c:v>
                </c:pt>
                <c:pt idx="14">
                  <c:v>0.15852047556142601</c:v>
                </c:pt>
                <c:pt idx="15">
                  <c:v>0.201660735468564</c:v>
                </c:pt>
                <c:pt idx="16">
                  <c:v>0.277419354838709</c:v>
                </c:pt>
                <c:pt idx="17">
                  <c:v>0.16947115384615299</c:v>
                </c:pt>
                <c:pt idx="18">
                  <c:v>0.20077720207253799</c:v>
                </c:pt>
                <c:pt idx="19">
                  <c:v>0.13161290322580599</c:v>
                </c:pt>
                <c:pt idx="20">
                  <c:v>0.115976331360946</c:v>
                </c:pt>
                <c:pt idx="21">
                  <c:v>0.30878552971576201</c:v>
                </c:pt>
                <c:pt idx="22">
                  <c:v>0.21052631578947301</c:v>
                </c:pt>
                <c:pt idx="23">
                  <c:v>0.277711561382598</c:v>
                </c:pt>
                <c:pt idx="24">
                  <c:v>0.27096774193548301</c:v>
                </c:pt>
                <c:pt idx="25">
                  <c:v>0.217335058214747</c:v>
                </c:pt>
                <c:pt idx="26">
                  <c:v>0.21963824289405601</c:v>
                </c:pt>
                <c:pt idx="27">
                  <c:v>0.26417525773195799</c:v>
                </c:pt>
                <c:pt idx="28">
                  <c:v>0.230967741935483</c:v>
                </c:pt>
                <c:pt idx="29">
                  <c:v>0.20725388601036199</c:v>
                </c:pt>
                <c:pt idx="30">
                  <c:v>0.210051546391752</c:v>
                </c:pt>
                <c:pt idx="31">
                  <c:v>0.23704663212435201</c:v>
                </c:pt>
                <c:pt idx="32">
                  <c:v>0.24222797927461101</c:v>
                </c:pt>
                <c:pt idx="33">
                  <c:v>0.36046511627906902</c:v>
                </c:pt>
                <c:pt idx="34">
                  <c:v>0.245572609208972</c:v>
                </c:pt>
                <c:pt idx="35">
                  <c:v>0.43431952662721801</c:v>
                </c:pt>
                <c:pt idx="36">
                  <c:v>0.27323162274618501</c:v>
                </c:pt>
                <c:pt idx="37">
                  <c:v>0.30450236966824601</c:v>
                </c:pt>
                <c:pt idx="38">
                  <c:v>0.15612903225806399</c:v>
                </c:pt>
                <c:pt idx="39">
                  <c:v>0.26030624263839802</c:v>
                </c:pt>
                <c:pt idx="40">
                  <c:v>0.25677419354838699</c:v>
                </c:pt>
                <c:pt idx="41">
                  <c:v>0.27856225930680301</c:v>
                </c:pt>
                <c:pt idx="42">
                  <c:v>0.239952718676122</c:v>
                </c:pt>
                <c:pt idx="43">
                  <c:v>0.31096774193548299</c:v>
                </c:pt>
                <c:pt idx="44">
                  <c:v>0.36269430051813401</c:v>
                </c:pt>
                <c:pt idx="45">
                  <c:v>0.19878787878787799</c:v>
                </c:pt>
                <c:pt idx="46">
                  <c:v>0.45290322580645098</c:v>
                </c:pt>
                <c:pt idx="47">
                  <c:v>0.30193548387096703</c:v>
                </c:pt>
                <c:pt idx="48">
                  <c:v>0.36351875808538098</c:v>
                </c:pt>
                <c:pt idx="49">
                  <c:v>0.352331606217616</c:v>
                </c:pt>
                <c:pt idx="50">
                  <c:v>0.43342036553524799</c:v>
                </c:pt>
                <c:pt idx="51">
                  <c:v>0.37770897832817302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A2-49C9-A991-FC3F112FE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868703"/>
        <c:axId val="1649867327"/>
      </c:barChart>
      <c:catAx>
        <c:axId val="136086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67327"/>
        <c:crosses val="autoZero"/>
        <c:auto val="1"/>
        <c:lblAlgn val="ctr"/>
        <c:lblOffset val="100"/>
        <c:noMultiLvlLbl val="0"/>
      </c:catAx>
      <c:valAx>
        <c:axId val="16498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6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MAE 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results_data!$F$3</c:f>
              <c:strCache>
                <c:ptCount val="1"/>
                <c:pt idx="0">
                  <c:v>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results_data!$B$4:$B$55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results_data!$F$4:$F$55</c:f>
              <c:numCache>
                <c:formatCode>0.000</c:formatCode>
                <c:ptCount val="52"/>
                <c:pt idx="0">
                  <c:v>0.148529628380277</c:v>
                </c:pt>
                <c:pt idx="1">
                  <c:v>0.10316603465440601</c:v>
                </c:pt>
                <c:pt idx="2">
                  <c:v>0.12019505818856401</c:v>
                </c:pt>
                <c:pt idx="3">
                  <c:v>0.1317592284976</c:v>
                </c:pt>
                <c:pt idx="4">
                  <c:v>8.2126777983920804E-2</c:v>
                </c:pt>
                <c:pt idx="5">
                  <c:v>0.133956225049185</c:v>
                </c:pt>
                <c:pt idx="6">
                  <c:v>0.133743056835637</c:v>
                </c:pt>
                <c:pt idx="7">
                  <c:v>0.109495786675715</c:v>
                </c:pt>
                <c:pt idx="8">
                  <c:v>0.11395013823064699</c:v>
                </c:pt>
                <c:pt idx="9">
                  <c:v>0.104073877068557</c:v>
                </c:pt>
                <c:pt idx="10">
                  <c:v>0.15565210366694199</c:v>
                </c:pt>
                <c:pt idx="11">
                  <c:v>0.21723604818953601</c:v>
                </c:pt>
                <c:pt idx="12">
                  <c:v>0.14021111525550101</c:v>
                </c:pt>
                <c:pt idx="13">
                  <c:v>9.5957910906298002E-2</c:v>
                </c:pt>
                <c:pt idx="14">
                  <c:v>9.9581634899666593E-2</c:v>
                </c:pt>
                <c:pt idx="15">
                  <c:v>0.12745711649626201</c:v>
                </c:pt>
                <c:pt idx="16">
                  <c:v>0.181721551459293</c:v>
                </c:pt>
                <c:pt idx="17">
                  <c:v>0.105294127747252</c:v>
                </c:pt>
                <c:pt idx="18">
                  <c:v>8.8377436466814605E-2</c:v>
                </c:pt>
                <c:pt idx="19">
                  <c:v>7.9880614439324094E-2</c:v>
                </c:pt>
                <c:pt idx="20">
                  <c:v>7.7038799661876503E-2</c:v>
                </c:pt>
                <c:pt idx="21">
                  <c:v>0.17166731266149801</c:v>
                </c:pt>
                <c:pt idx="22">
                  <c:v>0.128843690666059</c:v>
                </c:pt>
                <c:pt idx="23">
                  <c:v>0.12546307962994399</c:v>
                </c:pt>
                <c:pt idx="24">
                  <c:v>0.147155483870967</c:v>
                </c:pt>
                <c:pt idx="25">
                  <c:v>0.120782326125793</c:v>
                </c:pt>
                <c:pt idx="26">
                  <c:v>0.149049157130552</c:v>
                </c:pt>
                <c:pt idx="27">
                  <c:v>0.168228512109311</c:v>
                </c:pt>
                <c:pt idx="28">
                  <c:v>0.15080715821812499</c:v>
                </c:pt>
                <c:pt idx="29">
                  <c:v>0.119675240562546</c:v>
                </c:pt>
                <c:pt idx="30">
                  <c:v>0.10131878988708801</c:v>
                </c:pt>
                <c:pt idx="31">
                  <c:v>0.13640700304301301</c:v>
                </c:pt>
                <c:pt idx="32">
                  <c:v>0.147396270252487</c:v>
                </c:pt>
                <c:pt idx="33">
                  <c:v>0.18997858988556601</c:v>
                </c:pt>
                <c:pt idx="34">
                  <c:v>0.12766953392927399</c:v>
                </c:pt>
                <c:pt idx="35">
                  <c:v>0.21209644970414199</c:v>
                </c:pt>
                <c:pt idx="36">
                  <c:v>0.120834736807344</c:v>
                </c:pt>
                <c:pt idx="37">
                  <c:v>0.153605012976754</c:v>
                </c:pt>
                <c:pt idx="38">
                  <c:v>0.113256344086021</c:v>
                </c:pt>
                <c:pt idx="39">
                  <c:v>0.15608511413988399</c:v>
                </c:pt>
                <c:pt idx="40">
                  <c:v>0.10720866359447</c:v>
                </c:pt>
                <c:pt idx="41">
                  <c:v>0.14599813558285901</c:v>
                </c:pt>
                <c:pt idx="42">
                  <c:v>0.13818919565462101</c:v>
                </c:pt>
                <c:pt idx="43">
                  <c:v>0.16571131080389101</c:v>
                </c:pt>
                <c:pt idx="44">
                  <c:v>0.24001156550703101</c:v>
                </c:pt>
                <c:pt idx="45">
                  <c:v>0.14968989636625901</c:v>
                </c:pt>
                <c:pt idx="46">
                  <c:v>0.20501334869431601</c:v>
                </c:pt>
                <c:pt idx="47">
                  <c:v>0.20901592421915</c:v>
                </c:pt>
                <c:pt idx="48">
                  <c:v>0.25032587938150602</c:v>
                </c:pt>
                <c:pt idx="49">
                  <c:v>0.26648499568221001</c:v>
                </c:pt>
                <c:pt idx="50">
                  <c:v>0.171861276886733</c:v>
                </c:pt>
                <c:pt idx="51">
                  <c:v>0.214976043048798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EE-4D15-A06E-CEF16095D514}"/>
            </c:ext>
          </c:extLst>
        </c:ser>
        <c:ser>
          <c:idx val="1"/>
          <c:order val="1"/>
          <c:tx>
            <c:strRef>
              <c:f>results_data!$G$3</c:f>
              <c:strCache>
                <c:ptCount val="1"/>
                <c:pt idx="0">
                  <c:v>ROUND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results_data!$B$4:$B$55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results_data!$G$4:$G$55</c:f>
              <c:numCache>
                <c:formatCode>0.000</c:formatCode>
                <c:ptCount val="52"/>
                <c:pt idx="0">
                  <c:v>0.13459268004722499</c:v>
                </c:pt>
                <c:pt idx="1">
                  <c:v>7.3643410852713101E-2</c:v>
                </c:pt>
                <c:pt idx="2">
                  <c:v>9.3270365997638702E-2</c:v>
                </c:pt>
                <c:pt idx="3">
                  <c:v>0.11111111111111099</c:v>
                </c:pt>
                <c:pt idx="4">
                  <c:v>7.6741440377804004E-2</c:v>
                </c:pt>
                <c:pt idx="5">
                  <c:v>0.110709987966305</c:v>
                </c:pt>
                <c:pt idx="6">
                  <c:v>0.107096774193548</c:v>
                </c:pt>
                <c:pt idx="7">
                  <c:v>9.3824228028503501E-2</c:v>
                </c:pt>
                <c:pt idx="8">
                  <c:v>0.10189573459715601</c:v>
                </c:pt>
                <c:pt idx="9">
                  <c:v>9.6926713947990503E-2</c:v>
                </c:pt>
                <c:pt idx="10">
                  <c:v>0.13161290322580599</c:v>
                </c:pt>
                <c:pt idx="11">
                  <c:v>0.17312661498708001</c:v>
                </c:pt>
                <c:pt idx="12">
                  <c:v>0.131853785900783</c:v>
                </c:pt>
                <c:pt idx="13">
                  <c:v>8.12903225806451E-2</c:v>
                </c:pt>
                <c:pt idx="14">
                  <c:v>7.2655217965653898E-2</c:v>
                </c:pt>
                <c:pt idx="15">
                  <c:v>0.111506524317912</c:v>
                </c:pt>
                <c:pt idx="16">
                  <c:v>0.152258064516129</c:v>
                </c:pt>
                <c:pt idx="17">
                  <c:v>8.4134615384615294E-2</c:v>
                </c:pt>
                <c:pt idx="18">
                  <c:v>7.2538860103626895E-2</c:v>
                </c:pt>
                <c:pt idx="19">
                  <c:v>6.19354838709677E-2</c:v>
                </c:pt>
                <c:pt idx="20">
                  <c:v>6.6272189349112401E-2</c:v>
                </c:pt>
                <c:pt idx="21">
                  <c:v>0.145994832041343</c:v>
                </c:pt>
                <c:pt idx="22">
                  <c:v>0.11004784688995201</c:v>
                </c:pt>
                <c:pt idx="23">
                  <c:v>9.8927294398092905E-2</c:v>
                </c:pt>
                <c:pt idx="24">
                  <c:v>0.132903225806451</c:v>
                </c:pt>
                <c:pt idx="25">
                  <c:v>9.9611901681759304E-2</c:v>
                </c:pt>
                <c:pt idx="26">
                  <c:v>0.121447028423772</c:v>
                </c:pt>
                <c:pt idx="27">
                  <c:v>0.12886597938144301</c:v>
                </c:pt>
                <c:pt idx="28">
                  <c:v>0.13677419354838699</c:v>
                </c:pt>
                <c:pt idx="29">
                  <c:v>9.8445595854922199E-2</c:v>
                </c:pt>
                <c:pt idx="30">
                  <c:v>8.6340206185566995E-2</c:v>
                </c:pt>
                <c:pt idx="31">
                  <c:v>0.11528497409326401</c:v>
                </c:pt>
                <c:pt idx="32">
                  <c:v>0.11787564766839299</c:v>
                </c:pt>
                <c:pt idx="33">
                  <c:v>0.14341085271317799</c:v>
                </c:pt>
                <c:pt idx="34">
                  <c:v>0.106257378984651</c:v>
                </c:pt>
                <c:pt idx="35">
                  <c:v>0.16923076923076899</c:v>
                </c:pt>
                <c:pt idx="36">
                  <c:v>9.2926490984743398E-2</c:v>
                </c:pt>
                <c:pt idx="37">
                  <c:v>0.13388625592417</c:v>
                </c:pt>
                <c:pt idx="38">
                  <c:v>8.5161290322580602E-2</c:v>
                </c:pt>
                <c:pt idx="39">
                  <c:v>0.12838633686690201</c:v>
                </c:pt>
                <c:pt idx="40">
                  <c:v>8.12903225806451E-2</c:v>
                </c:pt>
                <c:pt idx="41">
                  <c:v>0.116816431322207</c:v>
                </c:pt>
                <c:pt idx="42">
                  <c:v>0.113475177304964</c:v>
                </c:pt>
                <c:pt idx="43">
                  <c:v>0.13806451612903201</c:v>
                </c:pt>
                <c:pt idx="44">
                  <c:v>0.20077720207253799</c:v>
                </c:pt>
                <c:pt idx="45">
                  <c:v>0.123636363636363</c:v>
                </c:pt>
                <c:pt idx="46">
                  <c:v>0.16516129032258001</c:v>
                </c:pt>
                <c:pt idx="47">
                  <c:v>0.17290322580645101</c:v>
                </c:pt>
                <c:pt idx="48">
                  <c:v>0.20051746442432</c:v>
                </c:pt>
                <c:pt idx="49">
                  <c:v>0.215025906735751</c:v>
                </c:pt>
                <c:pt idx="50">
                  <c:v>0.12924281984334199</c:v>
                </c:pt>
                <c:pt idx="51">
                  <c:v>0.179566563467492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EE-4D15-A06E-CEF16095D514}"/>
            </c:ext>
          </c:extLst>
        </c:ser>
        <c:ser>
          <c:idx val="2"/>
          <c:order val="2"/>
          <c:tx>
            <c:strRef>
              <c:f>results_data!$H$3</c:f>
              <c:strCache>
                <c:ptCount val="1"/>
                <c:pt idx="0">
                  <c:v>FLOOR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results_data!$B$4:$B$55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results_data!$H$4:$H$55</c:f>
              <c:numCache>
                <c:formatCode>0.000</c:formatCode>
                <c:ptCount val="52"/>
                <c:pt idx="0">
                  <c:v>0.19126328217237301</c:v>
                </c:pt>
                <c:pt idx="1">
                  <c:v>0.242894056847545</c:v>
                </c:pt>
                <c:pt idx="2">
                  <c:v>0.26682408500590299</c:v>
                </c:pt>
                <c:pt idx="3">
                  <c:v>0.19121447028423699</c:v>
                </c:pt>
                <c:pt idx="4">
                  <c:v>0.19598583234946801</c:v>
                </c:pt>
                <c:pt idx="5">
                  <c:v>0.17930204572803801</c:v>
                </c:pt>
                <c:pt idx="6">
                  <c:v>0.20258064516129001</c:v>
                </c:pt>
                <c:pt idx="7">
                  <c:v>0.18527315914489301</c:v>
                </c:pt>
                <c:pt idx="8">
                  <c:v>0.193127962085308</c:v>
                </c:pt>
                <c:pt idx="9">
                  <c:v>0.16784869976359301</c:v>
                </c:pt>
                <c:pt idx="10">
                  <c:v>0.309677419354838</c:v>
                </c:pt>
                <c:pt idx="11">
                  <c:v>0.339793281653746</c:v>
                </c:pt>
                <c:pt idx="12">
                  <c:v>0.25065274151436001</c:v>
                </c:pt>
                <c:pt idx="13">
                  <c:v>0.176774193548387</c:v>
                </c:pt>
                <c:pt idx="14">
                  <c:v>0.179656538969616</c:v>
                </c:pt>
                <c:pt idx="15">
                  <c:v>0.21589561091340401</c:v>
                </c:pt>
                <c:pt idx="16">
                  <c:v>0.33290322580645099</c:v>
                </c:pt>
                <c:pt idx="17">
                  <c:v>0.165865384615384</c:v>
                </c:pt>
                <c:pt idx="18">
                  <c:v>0.198186528497409</c:v>
                </c:pt>
                <c:pt idx="19">
                  <c:v>0.22967741935483801</c:v>
                </c:pt>
                <c:pt idx="20">
                  <c:v>0.16449704142011801</c:v>
                </c:pt>
                <c:pt idx="21">
                  <c:v>0.30232558139534799</c:v>
                </c:pt>
                <c:pt idx="22">
                  <c:v>0.26674641148325301</c:v>
                </c:pt>
                <c:pt idx="23">
                  <c:v>0.230035756853396</c:v>
                </c:pt>
                <c:pt idx="24">
                  <c:v>0.21806451612903199</c:v>
                </c:pt>
                <c:pt idx="25">
                  <c:v>0.209573091849935</c:v>
                </c:pt>
                <c:pt idx="26">
                  <c:v>0.31782945736434098</c:v>
                </c:pt>
                <c:pt idx="27">
                  <c:v>0.35180412371134001</c:v>
                </c:pt>
                <c:pt idx="28">
                  <c:v>0.28258064516129</c:v>
                </c:pt>
                <c:pt idx="29">
                  <c:v>0.28756476683937798</c:v>
                </c:pt>
                <c:pt idx="30">
                  <c:v>0.19201030927835</c:v>
                </c:pt>
                <c:pt idx="31">
                  <c:v>0.239637305699481</c:v>
                </c:pt>
                <c:pt idx="32">
                  <c:v>0.32642487046632102</c:v>
                </c:pt>
                <c:pt idx="33">
                  <c:v>0.30103359173126598</c:v>
                </c:pt>
                <c:pt idx="34">
                  <c:v>0.211334120425029</c:v>
                </c:pt>
                <c:pt idx="35">
                  <c:v>0.29230769230769199</c:v>
                </c:pt>
                <c:pt idx="36">
                  <c:v>0.23439667128987501</c:v>
                </c:pt>
                <c:pt idx="37">
                  <c:v>0.25236966824644502</c:v>
                </c:pt>
                <c:pt idx="38">
                  <c:v>0.24645161290322501</c:v>
                </c:pt>
                <c:pt idx="39">
                  <c:v>0.31802120141342699</c:v>
                </c:pt>
                <c:pt idx="40">
                  <c:v>0.196129032258064</c:v>
                </c:pt>
                <c:pt idx="41">
                  <c:v>0.236200256739409</c:v>
                </c:pt>
                <c:pt idx="42">
                  <c:v>0.27423167848699698</c:v>
                </c:pt>
                <c:pt idx="43">
                  <c:v>0.29290322580645101</c:v>
                </c:pt>
                <c:pt idx="44">
                  <c:v>0.42616580310880797</c:v>
                </c:pt>
                <c:pt idx="45">
                  <c:v>0.33212121212121198</c:v>
                </c:pt>
                <c:pt idx="46">
                  <c:v>0.304516129032258</c:v>
                </c:pt>
                <c:pt idx="47">
                  <c:v>0.45548387096774101</c:v>
                </c:pt>
                <c:pt idx="48">
                  <c:v>0.50582147477360895</c:v>
                </c:pt>
                <c:pt idx="49">
                  <c:v>0.43523316062176098</c:v>
                </c:pt>
                <c:pt idx="50">
                  <c:v>0.228459530026109</c:v>
                </c:pt>
                <c:pt idx="51">
                  <c:v>0.30650154798761597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EE-4D15-A06E-CEF16095D514}"/>
            </c:ext>
          </c:extLst>
        </c:ser>
        <c:ser>
          <c:idx val="3"/>
          <c:order val="3"/>
          <c:tx>
            <c:strRef>
              <c:f>results_data!$I$3</c:f>
              <c:strCache>
                <c:ptCount val="1"/>
                <c:pt idx="0">
                  <c:v>CEIL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results_data!$B$4:$B$55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results_data!$I$4:$I$55</c:f>
              <c:numCache>
                <c:formatCode>0.000</c:formatCode>
                <c:ptCount val="52"/>
                <c:pt idx="0">
                  <c:v>0.23848878394332901</c:v>
                </c:pt>
                <c:pt idx="1">
                  <c:v>0.18217054263565799</c:v>
                </c:pt>
                <c:pt idx="2">
                  <c:v>0.23140495867768501</c:v>
                </c:pt>
                <c:pt idx="3">
                  <c:v>0.27002583979328099</c:v>
                </c:pt>
                <c:pt idx="4">
                  <c:v>0.11806375442739001</c:v>
                </c:pt>
                <c:pt idx="5">
                  <c:v>0.35018050541516199</c:v>
                </c:pt>
                <c:pt idx="6">
                  <c:v>0.28000000000000003</c:v>
                </c:pt>
                <c:pt idx="7">
                  <c:v>0.19121140142517801</c:v>
                </c:pt>
                <c:pt idx="8">
                  <c:v>0.17417061611374399</c:v>
                </c:pt>
                <c:pt idx="9">
                  <c:v>0.165484633569739</c:v>
                </c:pt>
                <c:pt idx="10">
                  <c:v>0.25161290322580598</c:v>
                </c:pt>
                <c:pt idx="11">
                  <c:v>0.45219638242894</c:v>
                </c:pt>
                <c:pt idx="12">
                  <c:v>0.227154046997389</c:v>
                </c:pt>
                <c:pt idx="13">
                  <c:v>0.174193548387096</c:v>
                </c:pt>
                <c:pt idx="14">
                  <c:v>0.15852047556142601</c:v>
                </c:pt>
                <c:pt idx="15">
                  <c:v>0.201660735468564</c:v>
                </c:pt>
                <c:pt idx="16">
                  <c:v>0.277419354838709</c:v>
                </c:pt>
                <c:pt idx="17">
                  <c:v>0.16947115384615299</c:v>
                </c:pt>
                <c:pt idx="18">
                  <c:v>0.20077720207253799</c:v>
                </c:pt>
                <c:pt idx="19">
                  <c:v>0.13161290322580599</c:v>
                </c:pt>
                <c:pt idx="20">
                  <c:v>0.115976331360946</c:v>
                </c:pt>
                <c:pt idx="21">
                  <c:v>0.30878552971576201</c:v>
                </c:pt>
                <c:pt idx="22">
                  <c:v>0.21052631578947301</c:v>
                </c:pt>
                <c:pt idx="23">
                  <c:v>0.277711561382598</c:v>
                </c:pt>
                <c:pt idx="24">
                  <c:v>0.27096774193548301</c:v>
                </c:pt>
                <c:pt idx="25">
                  <c:v>0.217335058214747</c:v>
                </c:pt>
                <c:pt idx="26">
                  <c:v>0.21963824289405601</c:v>
                </c:pt>
                <c:pt idx="27">
                  <c:v>0.26417525773195799</c:v>
                </c:pt>
                <c:pt idx="28">
                  <c:v>0.230967741935483</c:v>
                </c:pt>
                <c:pt idx="29">
                  <c:v>0.20725388601036199</c:v>
                </c:pt>
                <c:pt idx="30">
                  <c:v>0.210051546391752</c:v>
                </c:pt>
                <c:pt idx="31">
                  <c:v>0.23704663212435201</c:v>
                </c:pt>
                <c:pt idx="32">
                  <c:v>0.24222797927461101</c:v>
                </c:pt>
                <c:pt idx="33">
                  <c:v>0.36046511627906902</c:v>
                </c:pt>
                <c:pt idx="34">
                  <c:v>0.245572609208972</c:v>
                </c:pt>
                <c:pt idx="35">
                  <c:v>0.43431952662721801</c:v>
                </c:pt>
                <c:pt idx="36">
                  <c:v>0.27323162274618501</c:v>
                </c:pt>
                <c:pt idx="37">
                  <c:v>0.30450236966824601</c:v>
                </c:pt>
                <c:pt idx="38">
                  <c:v>0.15612903225806399</c:v>
                </c:pt>
                <c:pt idx="39">
                  <c:v>0.26030624263839802</c:v>
                </c:pt>
                <c:pt idx="40">
                  <c:v>0.25677419354838699</c:v>
                </c:pt>
                <c:pt idx="41">
                  <c:v>0.27856225930680301</c:v>
                </c:pt>
                <c:pt idx="42">
                  <c:v>0.239952718676122</c:v>
                </c:pt>
                <c:pt idx="43">
                  <c:v>0.31096774193548299</c:v>
                </c:pt>
                <c:pt idx="44">
                  <c:v>0.36269430051813401</c:v>
                </c:pt>
                <c:pt idx="45">
                  <c:v>0.19878787878787799</c:v>
                </c:pt>
                <c:pt idx="46">
                  <c:v>0.45290322580645098</c:v>
                </c:pt>
                <c:pt idx="47">
                  <c:v>0.30193548387096703</c:v>
                </c:pt>
                <c:pt idx="48">
                  <c:v>0.36351875808538098</c:v>
                </c:pt>
                <c:pt idx="49">
                  <c:v>0.352331606217616</c:v>
                </c:pt>
                <c:pt idx="50">
                  <c:v>0.43342036553524799</c:v>
                </c:pt>
                <c:pt idx="51">
                  <c:v>0.37770897832817302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EE-4D15-A06E-CEF16095D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868703"/>
        <c:axId val="1649867327"/>
      </c:lineChart>
      <c:catAx>
        <c:axId val="136086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67327"/>
        <c:crosses val="autoZero"/>
        <c:auto val="1"/>
        <c:lblAlgn val="ctr"/>
        <c:lblOffset val="100"/>
        <c:noMultiLvlLbl val="0"/>
      </c:catAx>
      <c:valAx>
        <c:axId val="16498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6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6926</xdr:colOff>
      <xdr:row>11</xdr:row>
      <xdr:rowOff>103908</xdr:rowOff>
    </xdr:from>
    <xdr:to>
      <xdr:col>31</xdr:col>
      <xdr:colOff>96981</xdr:colOff>
      <xdr:row>54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869CA-E7B9-C93C-64D5-CA8BB2D5C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58</xdr:row>
      <xdr:rowOff>0</xdr:rowOff>
    </xdr:from>
    <xdr:to>
      <xdr:col>31</xdr:col>
      <xdr:colOff>90055</xdr:colOff>
      <xdr:row>101</xdr:row>
      <xdr:rowOff>48492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85CEA0-42D7-4801-A604-074080AC7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zoomScale="85" zoomScaleNormal="85" workbookViewId="0">
      <selection activeCell="Q5" sqref="Q5"/>
    </sheetView>
  </sheetViews>
  <sheetFormatPr defaultRowHeight="14.4" x14ac:dyDescent="0.3"/>
  <cols>
    <col min="2" max="2" width="10.109375" style="2" customWidth="1"/>
    <col min="3" max="3" width="12.5546875" customWidth="1"/>
    <col min="4" max="4" width="16.109375" customWidth="1"/>
    <col min="5" max="5" width="16" customWidth="1"/>
    <col min="6" max="6" width="14.21875" style="1" customWidth="1"/>
    <col min="7" max="7" width="14" style="1" customWidth="1"/>
    <col min="8" max="8" width="15.5546875" style="1" customWidth="1"/>
    <col min="9" max="9" width="14.88671875" style="1" customWidth="1"/>
    <col min="12" max="12" width="10.21875" customWidth="1"/>
  </cols>
  <sheetData>
    <row r="1" spans="1:15" ht="18" x14ac:dyDescent="0.35">
      <c r="A1" t="s">
        <v>10</v>
      </c>
      <c r="B1" s="10" t="s">
        <v>11</v>
      </c>
      <c r="C1" s="11"/>
      <c r="D1" s="11"/>
      <c r="E1" s="11"/>
      <c r="F1" s="11"/>
      <c r="G1" s="11"/>
      <c r="H1" s="11"/>
      <c r="I1" s="11"/>
    </row>
    <row r="2" spans="1:15" x14ac:dyDescent="0.3">
      <c r="B2" s="9"/>
      <c r="C2" s="3"/>
      <c r="D2" s="3"/>
      <c r="E2" s="3"/>
      <c r="F2" s="12" t="s">
        <v>9</v>
      </c>
      <c r="G2" s="13"/>
      <c r="H2" s="13"/>
      <c r="I2" s="14"/>
    </row>
    <row r="3" spans="1:15" x14ac:dyDescent="0.3">
      <c r="B3" s="6" t="s">
        <v>0</v>
      </c>
      <c r="C3" s="6" t="s">
        <v>12</v>
      </c>
      <c r="D3" s="6" t="s">
        <v>17</v>
      </c>
      <c r="E3" s="6" t="s">
        <v>18</v>
      </c>
      <c r="F3" s="8" t="s">
        <v>13</v>
      </c>
      <c r="G3" s="8" t="s">
        <v>14</v>
      </c>
      <c r="H3" s="8" t="s">
        <v>15</v>
      </c>
      <c r="I3" s="8" t="s">
        <v>16</v>
      </c>
    </row>
    <row r="4" spans="1:15" x14ac:dyDescent="0.3">
      <c r="B4" s="9">
        <v>10</v>
      </c>
      <c r="C4" s="3">
        <v>4231</v>
      </c>
      <c r="D4" s="3">
        <v>3384</v>
      </c>
      <c r="E4" s="3">
        <v>847</v>
      </c>
      <c r="F4" s="4">
        <v>0.148529628380277</v>
      </c>
      <c r="G4" s="4">
        <v>0.13459268004722499</v>
      </c>
      <c r="H4" s="4">
        <v>0.19126328217237301</v>
      </c>
      <c r="I4" s="4">
        <v>0.23848878394332901</v>
      </c>
    </row>
    <row r="5" spans="1:15" x14ac:dyDescent="0.3">
      <c r="B5" s="9">
        <v>11</v>
      </c>
      <c r="C5" s="3">
        <v>3870</v>
      </c>
      <c r="D5" s="3">
        <v>3096</v>
      </c>
      <c r="E5" s="3">
        <v>774</v>
      </c>
      <c r="F5" s="4">
        <v>0.10316603465440601</v>
      </c>
      <c r="G5" s="4">
        <v>7.3643410852713101E-2</v>
      </c>
      <c r="H5" s="4">
        <v>0.242894056847545</v>
      </c>
      <c r="I5" s="4">
        <v>0.18217054263565799</v>
      </c>
      <c r="L5" s="7" t="s">
        <v>9</v>
      </c>
      <c r="M5" s="7"/>
      <c r="N5" s="7"/>
      <c r="O5" s="7"/>
    </row>
    <row r="6" spans="1:15" x14ac:dyDescent="0.3">
      <c r="B6" s="9">
        <v>13</v>
      </c>
      <c r="C6" s="3">
        <v>4231</v>
      </c>
      <c r="D6" s="3">
        <v>3384</v>
      </c>
      <c r="E6" s="3">
        <v>847</v>
      </c>
      <c r="F6" s="4">
        <v>0.12019505818856401</v>
      </c>
      <c r="G6" s="4">
        <v>9.3270365997638702E-2</v>
      </c>
      <c r="H6" s="4">
        <v>0.26682408500590299</v>
      </c>
      <c r="I6" s="4">
        <v>0.23140495867768501</v>
      </c>
      <c r="K6" s="3"/>
      <c r="L6" s="6" t="s">
        <v>5</v>
      </c>
      <c r="M6" s="6" t="s">
        <v>6</v>
      </c>
      <c r="N6" s="6" t="s">
        <v>7</v>
      </c>
      <c r="O6" s="6" t="s">
        <v>8</v>
      </c>
    </row>
    <row r="7" spans="1:15" x14ac:dyDescent="0.3">
      <c r="B7" s="9">
        <v>14</v>
      </c>
      <c r="C7" s="3">
        <v>3870</v>
      </c>
      <c r="D7" s="3">
        <v>3096</v>
      </c>
      <c r="E7" s="3">
        <v>774</v>
      </c>
      <c r="F7" s="4">
        <v>0.1317592284976</v>
      </c>
      <c r="G7" s="4">
        <v>0.11111111111111099</v>
      </c>
      <c r="H7" s="4">
        <v>0.19121447028423699</v>
      </c>
      <c r="I7" s="4">
        <v>0.27002583979328099</v>
      </c>
      <c r="K7" s="5" t="s">
        <v>1</v>
      </c>
      <c r="L7" s="4">
        <f>MIN(F4:F55)</f>
        <v>7.7038799661876503E-2</v>
      </c>
      <c r="M7" s="4">
        <f t="shared" ref="M7:O7" si="0">MIN(G4:G55)</f>
        <v>6.19354838709677E-2</v>
      </c>
      <c r="N7" s="4">
        <f t="shared" si="0"/>
        <v>0.16449704142011801</v>
      </c>
      <c r="O7" s="4">
        <f t="shared" si="0"/>
        <v>0.115976331360946</v>
      </c>
    </row>
    <row r="8" spans="1:15" x14ac:dyDescent="0.3">
      <c r="B8" s="9">
        <v>15</v>
      </c>
      <c r="C8" s="3">
        <v>4231</v>
      </c>
      <c r="D8" s="3">
        <v>3384</v>
      </c>
      <c r="E8" s="3">
        <v>847</v>
      </c>
      <c r="F8" s="4">
        <v>8.2126777983920804E-2</v>
      </c>
      <c r="G8" s="4">
        <v>7.6741440377804004E-2</v>
      </c>
      <c r="H8" s="4">
        <v>0.19598583234946801</v>
      </c>
      <c r="I8" s="4">
        <v>0.11806375442739001</v>
      </c>
      <c r="K8" s="5" t="s">
        <v>2</v>
      </c>
      <c r="L8" s="4">
        <f>MAX(F4:F55)</f>
        <v>0.26648499568221001</v>
      </c>
      <c r="M8" s="4">
        <f t="shared" ref="M8:O8" si="1">MAX(G4:G55)</f>
        <v>0.215025906735751</v>
      </c>
      <c r="N8" s="4">
        <f t="shared" si="1"/>
        <v>0.50582147477360895</v>
      </c>
      <c r="O8" s="4">
        <f t="shared" si="1"/>
        <v>0.45290322580645098</v>
      </c>
    </row>
    <row r="9" spans="1:15" x14ac:dyDescent="0.3">
      <c r="B9" s="9">
        <v>16</v>
      </c>
      <c r="C9" s="3">
        <v>4152</v>
      </c>
      <c r="D9" s="3">
        <v>3321</v>
      </c>
      <c r="E9" s="3">
        <v>831</v>
      </c>
      <c r="F9" s="4">
        <v>0.133956225049185</v>
      </c>
      <c r="G9" s="4">
        <v>0.110709987966305</v>
      </c>
      <c r="H9" s="4">
        <v>0.17930204572803801</v>
      </c>
      <c r="I9" s="4">
        <v>0.35018050541516199</v>
      </c>
      <c r="K9" s="5" t="s">
        <v>3</v>
      </c>
      <c r="L9" s="4">
        <f>AVERAGE(F4:F55)</f>
        <v>0.14527327522810554</v>
      </c>
      <c r="M9" s="4">
        <f t="shared" ref="M9:O9" si="2">AVERAGE(G4:G55)</f>
        <v>0.119754854114776</v>
      </c>
      <c r="N9" s="4">
        <f t="shared" si="2"/>
        <v>0.26258022962826261</v>
      </c>
      <c r="O9" s="4">
        <f t="shared" si="2"/>
        <v>0.25812629993957636</v>
      </c>
    </row>
    <row r="10" spans="1:15" x14ac:dyDescent="0.3">
      <c r="B10" s="9">
        <v>17</v>
      </c>
      <c r="C10" s="3">
        <v>3871</v>
      </c>
      <c r="D10" s="3">
        <v>3096</v>
      </c>
      <c r="E10" s="3">
        <v>775</v>
      </c>
      <c r="F10" s="4">
        <v>0.133743056835637</v>
      </c>
      <c r="G10" s="4">
        <v>0.107096774193548</v>
      </c>
      <c r="H10" s="4">
        <v>0.20258064516129001</v>
      </c>
      <c r="I10" s="4">
        <v>0.28000000000000003</v>
      </c>
      <c r="K10" s="5" t="s">
        <v>4</v>
      </c>
      <c r="L10" s="4">
        <f>MEDIAN(F4:F55)</f>
        <v>0.13729809934881701</v>
      </c>
      <c r="M10" s="4">
        <f t="shared" ref="M10:O10" si="3">MEDIAN(G4:G55)</f>
        <v>0.114380075699114</v>
      </c>
      <c r="N10" s="4">
        <f t="shared" si="3"/>
        <v>0.24467283487538499</v>
      </c>
      <c r="O10" s="4">
        <f t="shared" si="3"/>
        <v>0.24390029424179149</v>
      </c>
    </row>
    <row r="11" spans="1:15" x14ac:dyDescent="0.3">
      <c r="B11" s="9">
        <v>18</v>
      </c>
      <c r="C11" s="3">
        <v>4207</v>
      </c>
      <c r="D11" s="3">
        <v>3365</v>
      </c>
      <c r="E11" s="3">
        <v>842</v>
      </c>
      <c r="F11" s="4">
        <v>0.109495786675715</v>
      </c>
      <c r="G11" s="4">
        <v>9.3824228028503501E-2</v>
      </c>
      <c r="H11" s="4">
        <v>0.18527315914489301</v>
      </c>
      <c r="I11" s="4">
        <v>0.19121140142517801</v>
      </c>
    </row>
    <row r="12" spans="1:15" x14ac:dyDescent="0.3">
      <c r="B12" s="9">
        <v>19</v>
      </c>
      <c r="C12" s="3">
        <v>4218</v>
      </c>
      <c r="D12" s="3">
        <v>3374</v>
      </c>
      <c r="E12" s="3">
        <v>844</v>
      </c>
      <c r="F12" s="4">
        <v>0.11395013823064699</v>
      </c>
      <c r="G12" s="4">
        <v>0.10189573459715601</v>
      </c>
      <c r="H12" s="4">
        <v>0.193127962085308</v>
      </c>
      <c r="I12" s="4">
        <v>0.17417061611374399</v>
      </c>
    </row>
    <row r="13" spans="1:15" x14ac:dyDescent="0.3">
      <c r="B13" s="9">
        <v>20</v>
      </c>
      <c r="C13" s="3">
        <v>4230</v>
      </c>
      <c r="D13" s="3">
        <v>3384</v>
      </c>
      <c r="E13" s="3">
        <v>846</v>
      </c>
      <c r="F13" s="4">
        <v>0.104073877068557</v>
      </c>
      <c r="G13" s="4">
        <v>9.6926713947990503E-2</v>
      </c>
      <c r="H13" s="4">
        <v>0.16784869976359301</v>
      </c>
      <c r="I13" s="4">
        <v>0.165484633569739</v>
      </c>
    </row>
    <row r="14" spans="1:15" x14ac:dyDescent="0.3">
      <c r="B14" s="9">
        <v>21</v>
      </c>
      <c r="C14" s="3">
        <v>3871</v>
      </c>
      <c r="D14" s="3">
        <v>3096</v>
      </c>
      <c r="E14" s="3">
        <v>775</v>
      </c>
      <c r="F14" s="4">
        <v>0.15565210366694199</v>
      </c>
      <c r="G14" s="4">
        <v>0.13161290322580599</v>
      </c>
      <c r="H14" s="4">
        <v>0.309677419354838</v>
      </c>
      <c r="I14" s="4">
        <v>0.25161290322580598</v>
      </c>
    </row>
    <row r="15" spans="1:15" x14ac:dyDescent="0.3">
      <c r="B15" s="9">
        <v>22</v>
      </c>
      <c r="C15" s="3">
        <v>3870</v>
      </c>
      <c r="D15" s="3">
        <v>3096</v>
      </c>
      <c r="E15" s="3">
        <v>774</v>
      </c>
      <c r="F15" s="4">
        <v>0.21723604818953601</v>
      </c>
      <c r="G15" s="4">
        <v>0.17312661498708001</v>
      </c>
      <c r="H15" s="4">
        <v>0.339793281653746</v>
      </c>
      <c r="I15" s="4">
        <v>0.45219638242894</v>
      </c>
    </row>
    <row r="16" spans="1:15" x14ac:dyDescent="0.3">
      <c r="B16" s="9">
        <v>25</v>
      </c>
      <c r="C16" s="3">
        <v>3829</v>
      </c>
      <c r="D16" s="3">
        <v>3063</v>
      </c>
      <c r="E16" s="3">
        <v>766</v>
      </c>
      <c r="F16" s="4">
        <v>0.14021111525550101</v>
      </c>
      <c r="G16" s="4">
        <v>0.131853785900783</v>
      </c>
      <c r="H16" s="4">
        <v>0.25065274151436001</v>
      </c>
      <c r="I16" s="4">
        <v>0.227154046997389</v>
      </c>
    </row>
    <row r="17" spans="2:9" x14ac:dyDescent="0.3">
      <c r="B17" s="9">
        <v>26</v>
      </c>
      <c r="C17" s="3">
        <v>3871</v>
      </c>
      <c r="D17" s="3">
        <v>3096</v>
      </c>
      <c r="E17" s="3">
        <v>775</v>
      </c>
      <c r="F17" s="4">
        <v>9.5957910906298002E-2</v>
      </c>
      <c r="G17" s="4">
        <v>8.12903225806451E-2</v>
      </c>
      <c r="H17" s="4">
        <v>0.176774193548387</v>
      </c>
      <c r="I17" s="4">
        <v>0.174193548387096</v>
      </c>
    </row>
    <row r="18" spans="2:9" x14ac:dyDescent="0.3">
      <c r="B18" s="9">
        <v>30</v>
      </c>
      <c r="C18" s="3">
        <v>3785</v>
      </c>
      <c r="D18" s="3">
        <v>3028</v>
      </c>
      <c r="E18" s="3">
        <v>757</v>
      </c>
      <c r="F18" s="4">
        <v>9.9581634899666593E-2</v>
      </c>
      <c r="G18" s="4">
        <v>7.2655217965653898E-2</v>
      </c>
      <c r="H18" s="4">
        <v>0.179656538969616</v>
      </c>
      <c r="I18" s="4">
        <v>0.15852047556142601</v>
      </c>
    </row>
    <row r="19" spans="2:9" x14ac:dyDescent="0.3">
      <c r="B19" s="9">
        <v>31</v>
      </c>
      <c r="C19" s="3">
        <v>4212</v>
      </c>
      <c r="D19" s="3">
        <v>3369</v>
      </c>
      <c r="E19" s="3">
        <v>843</v>
      </c>
      <c r="F19" s="4">
        <v>0.12745711649626201</v>
      </c>
      <c r="G19" s="4">
        <v>0.111506524317912</v>
      </c>
      <c r="H19" s="4">
        <v>0.21589561091340401</v>
      </c>
      <c r="I19" s="4">
        <v>0.201660735468564</v>
      </c>
    </row>
    <row r="20" spans="2:9" x14ac:dyDescent="0.3">
      <c r="B20" s="9">
        <v>32</v>
      </c>
      <c r="C20" s="3">
        <v>3871</v>
      </c>
      <c r="D20" s="3">
        <v>3096</v>
      </c>
      <c r="E20" s="3">
        <v>775</v>
      </c>
      <c r="F20" s="4">
        <v>0.181721551459293</v>
      </c>
      <c r="G20" s="4">
        <v>0.152258064516129</v>
      </c>
      <c r="H20" s="4">
        <v>0.33290322580645099</v>
      </c>
      <c r="I20" s="4">
        <v>0.277419354838709</v>
      </c>
    </row>
    <row r="21" spans="2:9" x14ac:dyDescent="0.3">
      <c r="B21" s="9">
        <v>33</v>
      </c>
      <c r="C21" s="3">
        <v>4158</v>
      </c>
      <c r="D21" s="3">
        <v>3326</v>
      </c>
      <c r="E21" s="3">
        <v>832</v>
      </c>
      <c r="F21" s="4">
        <v>0.105294127747252</v>
      </c>
      <c r="G21" s="4">
        <v>8.4134615384615294E-2</v>
      </c>
      <c r="H21" s="4">
        <v>0.165865384615384</v>
      </c>
      <c r="I21" s="4">
        <v>0.16947115384615299</v>
      </c>
    </row>
    <row r="22" spans="2:9" x14ac:dyDescent="0.3">
      <c r="B22" s="9">
        <v>34</v>
      </c>
      <c r="C22" s="3">
        <v>3857</v>
      </c>
      <c r="D22" s="3">
        <v>3085</v>
      </c>
      <c r="E22" s="3">
        <v>772</v>
      </c>
      <c r="F22" s="4">
        <v>8.8377436466814605E-2</v>
      </c>
      <c r="G22" s="4">
        <v>7.2538860103626895E-2</v>
      </c>
      <c r="H22" s="4">
        <v>0.198186528497409</v>
      </c>
      <c r="I22" s="4">
        <v>0.20077720207253799</v>
      </c>
    </row>
    <row r="23" spans="2:9" x14ac:dyDescent="0.3">
      <c r="B23" s="9">
        <v>35</v>
      </c>
      <c r="C23" s="3">
        <v>3871</v>
      </c>
      <c r="D23" s="3">
        <v>3096</v>
      </c>
      <c r="E23" s="3">
        <v>775</v>
      </c>
      <c r="F23" s="4">
        <v>7.9880614439324094E-2</v>
      </c>
      <c r="G23" s="4">
        <v>6.19354838709677E-2</v>
      </c>
      <c r="H23" s="4">
        <v>0.22967741935483801</v>
      </c>
      <c r="I23" s="4">
        <v>0.13161290322580599</v>
      </c>
    </row>
    <row r="24" spans="2:9" x14ac:dyDescent="0.3">
      <c r="B24" s="9">
        <v>37</v>
      </c>
      <c r="C24" s="3">
        <v>4225</v>
      </c>
      <c r="D24" s="3">
        <v>3380</v>
      </c>
      <c r="E24" s="3">
        <v>845</v>
      </c>
      <c r="F24" s="4">
        <v>7.7038799661876503E-2</v>
      </c>
      <c r="G24" s="4">
        <v>6.6272189349112401E-2</v>
      </c>
      <c r="H24" s="4">
        <v>0.16449704142011801</v>
      </c>
      <c r="I24" s="4">
        <v>0.115976331360946</v>
      </c>
    </row>
    <row r="25" spans="2:9" x14ac:dyDescent="0.3">
      <c r="B25" s="9">
        <v>38</v>
      </c>
      <c r="C25" s="3">
        <v>3870</v>
      </c>
      <c r="D25" s="3">
        <v>3096</v>
      </c>
      <c r="E25" s="3">
        <v>774</v>
      </c>
      <c r="F25" s="4">
        <v>0.17166731266149801</v>
      </c>
      <c r="G25" s="4">
        <v>0.145994832041343</v>
      </c>
      <c r="H25" s="4">
        <v>0.30232558139534799</v>
      </c>
      <c r="I25" s="4">
        <v>0.30878552971576201</v>
      </c>
    </row>
    <row r="26" spans="2:9" x14ac:dyDescent="0.3">
      <c r="B26" s="9">
        <v>39</v>
      </c>
      <c r="C26" s="3">
        <v>4178</v>
      </c>
      <c r="D26" s="3">
        <v>3342</v>
      </c>
      <c r="E26" s="3">
        <v>836</v>
      </c>
      <c r="F26" s="4">
        <v>0.128843690666059</v>
      </c>
      <c r="G26" s="4">
        <v>0.11004784688995201</v>
      </c>
      <c r="H26" s="4">
        <v>0.26674641148325301</v>
      </c>
      <c r="I26" s="4">
        <v>0.21052631578947301</v>
      </c>
    </row>
    <row r="27" spans="2:9" x14ac:dyDescent="0.3">
      <c r="B27" s="9">
        <v>40</v>
      </c>
      <c r="C27" s="3">
        <v>4194</v>
      </c>
      <c r="D27" s="3">
        <v>3355</v>
      </c>
      <c r="E27" s="3">
        <v>839</v>
      </c>
      <c r="F27" s="4">
        <v>0.12546307962994399</v>
      </c>
      <c r="G27" s="4">
        <v>9.8927294398092905E-2</v>
      </c>
      <c r="H27" s="4">
        <v>0.230035756853396</v>
      </c>
      <c r="I27" s="4">
        <v>0.277711561382598</v>
      </c>
    </row>
    <row r="28" spans="2:9" x14ac:dyDescent="0.3">
      <c r="B28" s="9">
        <v>41</v>
      </c>
      <c r="C28" s="3">
        <v>3871</v>
      </c>
      <c r="D28" s="3">
        <v>3096</v>
      </c>
      <c r="E28" s="3">
        <v>775</v>
      </c>
      <c r="F28" s="4">
        <v>0.147155483870967</v>
      </c>
      <c r="G28" s="4">
        <v>0.132903225806451</v>
      </c>
      <c r="H28" s="4">
        <v>0.21806451612903199</v>
      </c>
      <c r="I28" s="4">
        <v>0.27096774193548301</v>
      </c>
    </row>
    <row r="29" spans="2:9" x14ac:dyDescent="0.3">
      <c r="B29" s="9">
        <v>42</v>
      </c>
      <c r="C29" s="3">
        <v>3865</v>
      </c>
      <c r="D29" s="3">
        <v>3092</v>
      </c>
      <c r="E29" s="3">
        <v>773</v>
      </c>
      <c r="F29" s="4">
        <v>0.120782326125793</v>
      </c>
      <c r="G29" s="4">
        <v>9.9611901681759304E-2</v>
      </c>
      <c r="H29" s="4">
        <v>0.209573091849935</v>
      </c>
      <c r="I29" s="4">
        <v>0.217335058214747</v>
      </c>
    </row>
    <row r="30" spans="2:9" x14ac:dyDescent="0.3">
      <c r="B30" s="9">
        <v>43</v>
      </c>
      <c r="C30" s="3">
        <v>3870</v>
      </c>
      <c r="D30" s="3">
        <v>3096</v>
      </c>
      <c r="E30" s="3">
        <v>774</v>
      </c>
      <c r="F30" s="4">
        <v>0.149049157130552</v>
      </c>
      <c r="G30" s="4">
        <v>0.121447028423772</v>
      </c>
      <c r="H30" s="4">
        <v>0.31782945736434098</v>
      </c>
      <c r="I30" s="4">
        <v>0.21963824289405601</v>
      </c>
    </row>
    <row r="31" spans="2:9" x14ac:dyDescent="0.3">
      <c r="B31" s="9">
        <v>45</v>
      </c>
      <c r="C31" s="3">
        <v>3878</v>
      </c>
      <c r="D31" s="3">
        <v>3102</v>
      </c>
      <c r="E31" s="3">
        <v>776</v>
      </c>
      <c r="F31" s="4">
        <v>0.168228512109311</v>
      </c>
      <c r="G31" s="4">
        <v>0.12886597938144301</v>
      </c>
      <c r="H31" s="4">
        <v>0.35180412371134001</v>
      </c>
      <c r="I31" s="4">
        <v>0.26417525773195799</v>
      </c>
    </row>
    <row r="32" spans="2:9" x14ac:dyDescent="0.3">
      <c r="B32" s="9">
        <v>49</v>
      </c>
      <c r="C32" s="3">
        <v>3872</v>
      </c>
      <c r="D32" s="3">
        <v>3097</v>
      </c>
      <c r="E32" s="3">
        <v>775</v>
      </c>
      <c r="F32" s="4">
        <v>0.15080715821812499</v>
      </c>
      <c r="G32" s="4">
        <v>0.13677419354838699</v>
      </c>
      <c r="H32" s="4">
        <v>0.28258064516129</v>
      </c>
      <c r="I32" s="4">
        <v>0.230967741935483</v>
      </c>
    </row>
    <row r="33" spans="2:9" x14ac:dyDescent="0.3">
      <c r="B33" s="9">
        <v>50</v>
      </c>
      <c r="C33" s="3">
        <v>3859</v>
      </c>
      <c r="D33" s="3">
        <v>3087</v>
      </c>
      <c r="E33" s="3">
        <v>772</v>
      </c>
      <c r="F33" s="4">
        <v>0.119675240562546</v>
      </c>
      <c r="G33" s="4">
        <v>9.8445595854922199E-2</v>
      </c>
      <c r="H33" s="4">
        <v>0.28756476683937798</v>
      </c>
      <c r="I33" s="4">
        <v>0.20725388601036199</v>
      </c>
    </row>
    <row r="34" spans="2:9" x14ac:dyDescent="0.3">
      <c r="B34" s="9">
        <v>51</v>
      </c>
      <c r="C34" s="3">
        <v>3878</v>
      </c>
      <c r="D34" s="3">
        <v>3102</v>
      </c>
      <c r="E34" s="3">
        <v>776</v>
      </c>
      <c r="F34" s="4">
        <v>0.10131878988708801</v>
      </c>
      <c r="G34" s="4">
        <v>8.6340206185566995E-2</v>
      </c>
      <c r="H34" s="4">
        <v>0.19201030927835</v>
      </c>
      <c r="I34" s="4">
        <v>0.210051546391752</v>
      </c>
    </row>
    <row r="35" spans="2:9" x14ac:dyDescent="0.3">
      <c r="B35" s="9">
        <v>52</v>
      </c>
      <c r="C35" s="3">
        <v>3857</v>
      </c>
      <c r="D35" s="3">
        <v>3085</v>
      </c>
      <c r="E35" s="3">
        <v>772</v>
      </c>
      <c r="F35" s="4">
        <v>0.13640700304301301</v>
      </c>
      <c r="G35" s="4">
        <v>0.11528497409326401</v>
      </c>
      <c r="H35" s="4">
        <v>0.239637305699481</v>
      </c>
      <c r="I35" s="4">
        <v>0.23704663212435201</v>
      </c>
    </row>
    <row r="36" spans="2:9" x14ac:dyDescent="0.3">
      <c r="B36" s="9">
        <v>53</v>
      </c>
      <c r="C36" s="3">
        <v>3859</v>
      </c>
      <c r="D36" s="3">
        <v>3087</v>
      </c>
      <c r="E36" s="3">
        <v>772</v>
      </c>
      <c r="F36" s="4">
        <v>0.147396270252487</v>
      </c>
      <c r="G36" s="4">
        <v>0.11787564766839299</v>
      </c>
      <c r="H36" s="4">
        <v>0.32642487046632102</v>
      </c>
      <c r="I36" s="4">
        <v>0.24222797927461101</v>
      </c>
    </row>
    <row r="37" spans="2:9" x14ac:dyDescent="0.3">
      <c r="B37" s="9">
        <v>54</v>
      </c>
      <c r="C37" s="3">
        <v>3867</v>
      </c>
      <c r="D37" s="3">
        <v>3093</v>
      </c>
      <c r="E37" s="3">
        <v>774</v>
      </c>
      <c r="F37" s="4">
        <v>0.18997858988556601</v>
      </c>
      <c r="G37" s="4">
        <v>0.14341085271317799</v>
      </c>
      <c r="H37" s="4">
        <v>0.30103359173126598</v>
      </c>
      <c r="I37" s="4">
        <v>0.36046511627906902</v>
      </c>
    </row>
    <row r="38" spans="2:9" x14ac:dyDescent="0.3">
      <c r="B38" s="9">
        <v>55</v>
      </c>
      <c r="C38" s="3">
        <v>4231</v>
      </c>
      <c r="D38" s="3">
        <v>3384</v>
      </c>
      <c r="E38" s="3">
        <v>847</v>
      </c>
      <c r="F38" s="4">
        <v>0.12766953392927399</v>
      </c>
      <c r="G38" s="4">
        <v>0.106257378984651</v>
      </c>
      <c r="H38" s="4">
        <v>0.211334120425029</v>
      </c>
      <c r="I38" s="4">
        <v>0.245572609208972</v>
      </c>
    </row>
    <row r="39" spans="2:9" x14ac:dyDescent="0.3">
      <c r="B39" s="9">
        <v>56</v>
      </c>
      <c r="C39" s="3">
        <v>4224</v>
      </c>
      <c r="D39" s="3">
        <v>3379</v>
      </c>
      <c r="E39" s="3">
        <v>845</v>
      </c>
      <c r="F39" s="4">
        <v>0.21209644970414199</v>
      </c>
      <c r="G39" s="4">
        <v>0.16923076923076899</v>
      </c>
      <c r="H39" s="4">
        <v>0.29230769230769199</v>
      </c>
      <c r="I39" s="4">
        <v>0.43431952662721801</v>
      </c>
    </row>
    <row r="40" spans="2:9" x14ac:dyDescent="0.3">
      <c r="B40" s="9">
        <v>58</v>
      </c>
      <c r="C40" s="3">
        <v>3602</v>
      </c>
      <c r="D40" s="3">
        <v>2881</v>
      </c>
      <c r="E40" s="3">
        <v>721</v>
      </c>
      <c r="F40" s="4">
        <v>0.120834736807344</v>
      </c>
      <c r="G40" s="4">
        <v>9.2926490984743398E-2</v>
      </c>
      <c r="H40" s="4">
        <v>0.23439667128987501</v>
      </c>
      <c r="I40" s="4">
        <v>0.27323162274618501</v>
      </c>
    </row>
    <row r="41" spans="2:9" x14ac:dyDescent="0.3">
      <c r="B41" s="9">
        <v>60</v>
      </c>
      <c r="C41" s="3">
        <v>4218</v>
      </c>
      <c r="D41" s="3">
        <v>3374</v>
      </c>
      <c r="E41" s="3">
        <v>844</v>
      </c>
      <c r="F41" s="4">
        <v>0.153605012976754</v>
      </c>
      <c r="G41" s="4">
        <v>0.13388625592417</v>
      </c>
      <c r="H41" s="4">
        <v>0.25236966824644502</v>
      </c>
      <c r="I41" s="4">
        <v>0.30450236966824601</v>
      </c>
    </row>
    <row r="42" spans="2:9" x14ac:dyDescent="0.3">
      <c r="B42" s="9">
        <v>61</v>
      </c>
      <c r="C42" s="3">
        <v>3871</v>
      </c>
      <c r="D42" s="3">
        <v>3096</v>
      </c>
      <c r="E42" s="3">
        <v>775</v>
      </c>
      <c r="F42" s="4">
        <v>0.113256344086021</v>
      </c>
      <c r="G42" s="4">
        <v>8.5161290322580602E-2</v>
      </c>
      <c r="H42" s="4">
        <v>0.24645161290322501</v>
      </c>
      <c r="I42" s="4">
        <v>0.15612903225806399</v>
      </c>
    </row>
    <row r="43" spans="2:9" x14ac:dyDescent="0.3">
      <c r="B43" s="9">
        <v>62</v>
      </c>
      <c r="C43" s="3">
        <v>4244</v>
      </c>
      <c r="D43" s="3">
        <v>3395</v>
      </c>
      <c r="E43" s="3">
        <v>849</v>
      </c>
      <c r="F43" s="4">
        <v>0.15608511413988399</v>
      </c>
      <c r="G43" s="4">
        <v>0.12838633686690201</v>
      </c>
      <c r="H43" s="4">
        <v>0.31802120141342699</v>
      </c>
      <c r="I43" s="4">
        <v>0.26030624263839802</v>
      </c>
    </row>
    <row r="44" spans="2:9" x14ac:dyDescent="0.3">
      <c r="B44" s="9">
        <v>63</v>
      </c>
      <c r="C44" s="3">
        <v>3871</v>
      </c>
      <c r="D44" s="3">
        <v>3096</v>
      </c>
      <c r="E44" s="3">
        <v>775</v>
      </c>
      <c r="F44" s="4">
        <v>0.10720866359447</v>
      </c>
      <c r="G44" s="4">
        <v>8.12903225806451E-2</v>
      </c>
      <c r="H44" s="4">
        <v>0.196129032258064</v>
      </c>
      <c r="I44" s="4">
        <v>0.25677419354838699</v>
      </c>
    </row>
    <row r="45" spans="2:9" x14ac:dyDescent="0.3">
      <c r="B45" s="9">
        <v>64</v>
      </c>
      <c r="C45" s="3">
        <v>3895</v>
      </c>
      <c r="D45" s="3">
        <v>3116</v>
      </c>
      <c r="E45" s="3">
        <v>779</v>
      </c>
      <c r="F45" s="4">
        <v>0.14599813558285901</v>
      </c>
      <c r="G45" s="4">
        <v>0.116816431322207</v>
      </c>
      <c r="H45" s="4">
        <v>0.236200256739409</v>
      </c>
      <c r="I45" s="4">
        <v>0.27856225930680301</v>
      </c>
    </row>
    <row r="46" spans="2:9" x14ac:dyDescent="0.3">
      <c r="B46" s="9">
        <v>65</v>
      </c>
      <c r="C46" s="3">
        <v>4226</v>
      </c>
      <c r="D46" s="3">
        <v>3380</v>
      </c>
      <c r="E46" s="3">
        <v>846</v>
      </c>
      <c r="F46" s="4">
        <v>0.13818919565462101</v>
      </c>
      <c r="G46" s="4">
        <v>0.113475177304964</v>
      </c>
      <c r="H46" s="4">
        <v>0.27423167848699698</v>
      </c>
      <c r="I46" s="4">
        <v>0.239952718676122</v>
      </c>
    </row>
    <row r="47" spans="2:9" x14ac:dyDescent="0.3">
      <c r="B47" s="9">
        <v>66</v>
      </c>
      <c r="C47" s="3">
        <v>3872</v>
      </c>
      <c r="D47" s="3">
        <v>3097</v>
      </c>
      <c r="E47" s="3">
        <v>775</v>
      </c>
      <c r="F47" s="4">
        <v>0.16571131080389101</v>
      </c>
      <c r="G47" s="4">
        <v>0.13806451612903201</v>
      </c>
      <c r="H47" s="4">
        <v>0.29290322580645101</v>
      </c>
      <c r="I47" s="4">
        <v>0.31096774193548299</v>
      </c>
    </row>
    <row r="48" spans="2:9" x14ac:dyDescent="0.3">
      <c r="B48" s="9">
        <v>67</v>
      </c>
      <c r="C48" s="3">
        <v>3858</v>
      </c>
      <c r="D48" s="3">
        <v>3086</v>
      </c>
      <c r="E48" s="3">
        <v>772</v>
      </c>
      <c r="F48" s="4">
        <v>0.24001156550703101</v>
      </c>
      <c r="G48" s="4">
        <v>0.20077720207253799</v>
      </c>
      <c r="H48" s="4">
        <v>0.42616580310880797</v>
      </c>
      <c r="I48" s="4">
        <v>0.36269430051813401</v>
      </c>
    </row>
    <row r="49" spans="2:9" x14ac:dyDescent="0.3">
      <c r="B49" s="9">
        <v>68</v>
      </c>
      <c r="C49" s="3">
        <v>4124</v>
      </c>
      <c r="D49" s="3">
        <v>3299</v>
      </c>
      <c r="E49" s="3">
        <v>825</v>
      </c>
      <c r="F49" s="4">
        <v>0.14968989636625901</v>
      </c>
      <c r="G49" s="4">
        <v>0.123636363636363</v>
      </c>
      <c r="H49" s="4">
        <v>0.33212121212121198</v>
      </c>
      <c r="I49" s="4">
        <v>0.19878787878787799</v>
      </c>
    </row>
    <row r="50" spans="2:9" x14ac:dyDescent="0.3">
      <c r="B50" s="9">
        <v>69</v>
      </c>
      <c r="C50" s="3">
        <v>3871</v>
      </c>
      <c r="D50" s="3">
        <v>3096</v>
      </c>
      <c r="E50" s="3">
        <v>775</v>
      </c>
      <c r="F50" s="4">
        <v>0.20501334869431601</v>
      </c>
      <c r="G50" s="4">
        <v>0.16516129032258001</v>
      </c>
      <c r="H50" s="4">
        <v>0.304516129032258</v>
      </c>
      <c r="I50" s="4">
        <v>0.45290322580645098</v>
      </c>
    </row>
    <row r="51" spans="2:9" x14ac:dyDescent="0.3">
      <c r="B51" s="9">
        <v>71</v>
      </c>
      <c r="C51" s="3">
        <v>3872</v>
      </c>
      <c r="D51" s="3">
        <v>3097</v>
      </c>
      <c r="E51" s="3">
        <v>775</v>
      </c>
      <c r="F51" s="4">
        <v>0.20901592421915</v>
      </c>
      <c r="G51" s="4">
        <v>0.17290322580645101</v>
      </c>
      <c r="H51" s="4">
        <v>0.45548387096774101</v>
      </c>
      <c r="I51" s="4">
        <v>0.30193548387096703</v>
      </c>
    </row>
    <row r="52" spans="2:9" x14ac:dyDescent="0.3">
      <c r="B52" s="9">
        <v>72</v>
      </c>
      <c r="C52" s="3">
        <v>3861</v>
      </c>
      <c r="D52" s="3">
        <v>3088</v>
      </c>
      <c r="E52" s="3">
        <v>773</v>
      </c>
      <c r="F52" s="4">
        <v>0.25032587938150602</v>
      </c>
      <c r="G52" s="4">
        <v>0.20051746442432</v>
      </c>
      <c r="H52" s="4">
        <v>0.50582147477360895</v>
      </c>
      <c r="I52" s="4">
        <v>0.36351875808538098</v>
      </c>
    </row>
    <row r="53" spans="2:9" x14ac:dyDescent="0.3">
      <c r="B53" s="9">
        <v>73</v>
      </c>
      <c r="C53" s="3">
        <v>3858</v>
      </c>
      <c r="D53" s="3">
        <v>3086</v>
      </c>
      <c r="E53" s="3">
        <v>772</v>
      </c>
      <c r="F53" s="4">
        <v>0.26648499568221001</v>
      </c>
      <c r="G53" s="4">
        <v>0.215025906735751</v>
      </c>
      <c r="H53" s="4">
        <v>0.43523316062176098</v>
      </c>
      <c r="I53" s="4">
        <v>0.352331606217616</v>
      </c>
    </row>
    <row r="54" spans="2:9" x14ac:dyDescent="0.3">
      <c r="B54" s="9">
        <v>74</v>
      </c>
      <c r="C54" s="3">
        <v>3828</v>
      </c>
      <c r="D54" s="3">
        <v>3062</v>
      </c>
      <c r="E54" s="3">
        <v>766</v>
      </c>
      <c r="F54" s="4">
        <v>0.171861276886733</v>
      </c>
      <c r="G54" s="4">
        <v>0.12924281984334199</v>
      </c>
      <c r="H54" s="4">
        <v>0.228459530026109</v>
      </c>
      <c r="I54" s="4">
        <v>0.43342036553524799</v>
      </c>
    </row>
    <row r="55" spans="2:9" x14ac:dyDescent="0.3">
      <c r="B55" s="9">
        <v>75</v>
      </c>
      <c r="C55" s="3">
        <v>1612</v>
      </c>
      <c r="D55" s="3">
        <v>1289</v>
      </c>
      <c r="E55" s="3">
        <v>323</v>
      </c>
      <c r="F55" s="4">
        <v>0.214976043048798</v>
      </c>
      <c r="G55" s="4">
        <v>0.179566563467492</v>
      </c>
      <c r="H55" s="4">
        <v>0.30650154798761597</v>
      </c>
      <c r="I55" s="4">
        <v>0.37770897832817302</v>
      </c>
    </row>
  </sheetData>
  <mergeCells count="3">
    <mergeCell ref="L5:O5"/>
    <mergeCell ref="B1:I1"/>
    <mergeCell ref="F2:I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2023-04-18T01:20:12Z</dcterms:created>
  <dcterms:modified xsi:type="dcterms:W3CDTF">2023-04-20T14:11:22Z</dcterms:modified>
</cp:coreProperties>
</file>