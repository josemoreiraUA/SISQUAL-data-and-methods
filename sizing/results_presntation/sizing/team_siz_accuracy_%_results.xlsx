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ewpc\Notebooks\"/>
    </mc:Choice>
  </mc:AlternateContent>
  <xr:revisionPtr revIDLastSave="0" documentId="13_ncr:1_{2005D4AE-4AB5-4990-96FD-0BD42B01760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results_pred_pre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1" l="1"/>
  <c r="E61" i="1"/>
  <c r="F61" i="1"/>
  <c r="G61" i="1"/>
  <c r="H61" i="1"/>
  <c r="I61" i="1"/>
  <c r="J61" i="1"/>
  <c r="K61" i="1"/>
  <c r="L61" i="1"/>
  <c r="M61" i="1"/>
  <c r="N61" i="1"/>
  <c r="O61" i="1"/>
  <c r="P61" i="1"/>
  <c r="Q61" i="1"/>
  <c r="C61" i="1"/>
  <c r="D60" i="1"/>
  <c r="E60" i="1"/>
  <c r="F60" i="1"/>
  <c r="G60" i="1"/>
  <c r="H60" i="1"/>
  <c r="I60" i="1"/>
  <c r="J60" i="1"/>
  <c r="K60" i="1"/>
  <c r="L60" i="1"/>
  <c r="M60" i="1"/>
  <c r="N60" i="1"/>
  <c r="O60" i="1"/>
  <c r="P60" i="1"/>
  <c r="Q60" i="1"/>
  <c r="C60" i="1"/>
  <c r="D59" i="1"/>
  <c r="E59" i="1"/>
  <c r="F59" i="1"/>
  <c r="G59" i="1"/>
  <c r="H59" i="1"/>
  <c r="I59" i="1"/>
  <c r="J59" i="1"/>
  <c r="K59" i="1"/>
  <c r="L59" i="1"/>
  <c r="M59" i="1"/>
  <c r="N59" i="1"/>
  <c r="O59" i="1"/>
  <c r="P59" i="1"/>
  <c r="Q59" i="1"/>
  <c r="C59" i="1"/>
  <c r="D58" i="1"/>
  <c r="E58" i="1"/>
  <c r="F58" i="1"/>
  <c r="G58" i="1"/>
  <c r="H58" i="1"/>
  <c r="I58" i="1"/>
  <c r="J58" i="1"/>
  <c r="K58" i="1"/>
  <c r="L58" i="1"/>
  <c r="M58" i="1"/>
  <c r="N58" i="1"/>
  <c r="O58" i="1"/>
  <c r="P58" i="1"/>
  <c r="Q58" i="1"/>
  <c r="C58" i="1"/>
</calcChain>
</file>

<file path=xl/sharedStrings.xml><?xml version="1.0" encoding="utf-8"?>
<sst xmlns="http://schemas.openxmlformats.org/spreadsheetml/2006/main" count="20" uniqueCount="20">
  <si>
    <t>ROUND =</t>
  </si>
  <si>
    <t>ROUND +1</t>
  </si>
  <si>
    <t>ROUND -1</t>
  </si>
  <si>
    <t>ROUND &gt; 1</t>
  </si>
  <si>
    <t>ROUND &lt; 1</t>
  </si>
  <si>
    <t>FLOOR =</t>
  </si>
  <si>
    <t>FLOOR +1</t>
  </si>
  <si>
    <t>FLOOR -1</t>
  </si>
  <si>
    <t>FLOOR &gt; 1</t>
  </si>
  <si>
    <t>FLOOR &lt; 1</t>
  </si>
  <si>
    <t>CEIL =</t>
  </si>
  <si>
    <t>CEIL +1</t>
  </si>
  <si>
    <t>CEIL -1</t>
  </si>
  <si>
    <t>CEIL &gt; 1</t>
  </si>
  <si>
    <t>CEIL &lt; 1</t>
  </si>
  <si>
    <t>Min</t>
  </si>
  <si>
    <t>Max</t>
  </si>
  <si>
    <t>Mean</t>
  </si>
  <si>
    <t>Median</t>
  </si>
  <si>
    <t>Store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</si>
</sst>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6" fillId="0" borderId="10" xfId="0" applyFont="1" applyBorder="1"/>
    <xf numFmtId="164" fontId="0" fillId="0" borderId="10" xfId="0" applyNumberFormat="1" applyBorder="1"/>
    <xf numFmtId="164" fontId="0" fillId="33" borderId="10" xfId="0" applyNumberFormat="1" applyFill="1" applyBorder="1"/>
    <xf numFmtId="0" fontId="16" fillId="0" borderId="10" xfId="0" applyFont="1" applyBorder="1" applyAlignment="1">
      <alignment horizontal="center"/>
    </xf>
    <xf numFmtId="0" fontId="0" fillId="0" borderId="10" xfId="0" applyBorder="1"/>
    <xf numFmtId="0" fontId="0" fillId="0" borderId="10" xfId="0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Rounding = % Accuracy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results_pred_prec!$C$3</c:f>
              <c:strCache>
                <c:ptCount val="1"/>
                <c:pt idx="0">
                  <c:v>ROUND =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results_pred_prec!$B$4:$B$55</c:f>
              <c:numCache>
                <c:formatCode>General</c:formatCode>
                <c:ptCount val="52"/>
                <c:pt idx="0">
                  <c:v>10</c:v>
                </c:pt>
                <c:pt idx="1">
                  <c:v>11</c:v>
                </c:pt>
                <c:pt idx="2">
                  <c:v>13</c:v>
                </c:pt>
                <c:pt idx="3">
                  <c:v>14</c:v>
                </c:pt>
                <c:pt idx="4">
                  <c:v>15</c:v>
                </c:pt>
                <c:pt idx="5">
                  <c:v>16</c:v>
                </c:pt>
                <c:pt idx="6">
                  <c:v>17</c:v>
                </c:pt>
                <c:pt idx="7">
                  <c:v>18</c:v>
                </c:pt>
                <c:pt idx="8">
                  <c:v>19</c:v>
                </c:pt>
                <c:pt idx="9">
                  <c:v>20</c:v>
                </c:pt>
                <c:pt idx="10">
                  <c:v>21</c:v>
                </c:pt>
                <c:pt idx="11">
                  <c:v>22</c:v>
                </c:pt>
                <c:pt idx="12">
                  <c:v>25</c:v>
                </c:pt>
                <c:pt idx="13">
                  <c:v>26</c:v>
                </c:pt>
                <c:pt idx="14">
                  <c:v>30</c:v>
                </c:pt>
                <c:pt idx="15">
                  <c:v>31</c:v>
                </c:pt>
                <c:pt idx="16">
                  <c:v>32</c:v>
                </c:pt>
                <c:pt idx="17">
                  <c:v>33</c:v>
                </c:pt>
                <c:pt idx="18">
                  <c:v>34</c:v>
                </c:pt>
                <c:pt idx="19">
                  <c:v>35</c:v>
                </c:pt>
                <c:pt idx="20">
                  <c:v>37</c:v>
                </c:pt>
                <c:pt idx="21">
                  <c:v>38</c:v>
                </c:pt>
                <c:pt idx="22">
                  <c:v>39</c:v>
                </c:pt>
                <c:pt idx="23">
                  <c:v>40</c:v>
                </c:pt>
                <c:pt idx="24">
                  <c:v>41</c:v>
                </c:pt>
                <c:pt idx="25">
                  <c:v>42</c:v>
                </c:pt>
                <c:pt idx="26">
                  <c:v>43</c:v>
                </c:pt>
                <c:pt idx="27">
                  <c:v>45</c:v>
                </c:pt>
                <c:pt idx="28">
                  <c:v>49</c:v>
                </c:pt>
                <c:pt idx="29">
                  <c:v>50</c:v>
                </c:pt>
                <c:pt idx="30">
                  <c:v>51</c:v>
                </c:pt>
                <c:pt idx="31">
                  <c:v>52</c:v>
                </c:pt>
                <c:pt idx="32">
                  <c:v>53</c:v>
                </c:pt>
                <c:pt idx="33">
                  <c:v>54</c:v>
                </c:pt>
                <c:pt idx="34">
                  <c:v>55</c:v>
                </c:pt>
                <c:pt idx="35">
                  <c:v>56</c:v>
                </c:pt>
                <c:pt idx="36">
                  <c:v>58</c:v>
                </c:pt>
                <c:pt idx="37">
                  <c:v>60</c:v>
                </c:pt>
                <c:pt idx="38">
                  <c:v>61</c:v>
                </c:pt>
                <c:pt idx="39">
                  <c:v>62</c:v>
                </c:pt>
                <c:pt idx="40">
                  <c:v>63</c:v>
                </c:pt>
                <c:pt idx="41">
                  <c:v>64</c:v>
                </c:pt>
                <c:pt idx="42">
                  <c:v>65</c:v>
                </c:pt>
                <c:pt idx="43">
                  <c:v>66</c:v>
                </c:pt>
                <c:pt idx="44">
                  <c:v>67</c:v>
                </c:pt>
                <c:pt idx="45">
                  <c:v>68</c:v>
                </c:pt>
                <c:pt idx="46">
                  <c:v>69</c:v>
                </c:pt>
                <c:pt idx="47">
                  <c:v>71</c:v>
                </c:pt>
                <c:pt idx="48">
                  <c:v>72</c:v>
                </c:pt>
                <c:pt idx="49">
                  <c:v>73</c:v>
                </c:pt>
                <c:pt idx="50">
                  <c:v>74</c:v>
                </c:pt>
                <c:pt idx="51">
                  <c:v>75</c:v>
                </c:pt>
              </c:numCache>
            </c:numRef>
          </c:cat>
          <c:val>
            <c:numRef>
              <c:f>results_pred_prec!$C$4:$C$55</c:f>
              <c:numCache>
                <c:formatCode>General</c:formatCode>
                <c:ptCount val="52"/>
                <c:pt idx="0">
                  <c:v>86.66</c:v>
                </c:pt>
                <c:pt idx="1">
                  <c:v>92.64</c:v>
                </c:pt>
                <c:pt idx="2">
                  <c:v>90.67</c:v>
                </c:pt>
                <c:pt idx="3">
                  <c:v>88.89</c:v>
                </c:pt>
                <c:pt idx="4">
                  <c:v>92.33</c:v>
                </c:pt>
                <c:pt idx="5">
                  <c:v>88.93</c:v>
                </c:pt>
                <c:pt idx="6">
                  <c:v>89.29</c:v>
                </c:pt>
                <c:pt idx="7">
                  <c:v>90.74</c:v>
                </c:pt>
                <c:pt idx="8">
                  <c:v>89.81</c:v>
                </c:pt>
                <c:pt idx="9">
                  <c:v>90.43</c:v>
                </c:pt>
                <c:pt idx="10">
                  <c:v>86.84</c:v>
                </c:pt>
                <c:pt idx="11">
                  <c:v>83.2</c:v>
                </c:pt>
                <c:pt idx="12">
                  <c:v>86.81</c:v>
                </c:pt>
                <c:pt idx="13">
                  <c:v>91.87</c:v>
                </c:pt>
                <c:pt idx="14">
                  <c:v>92.73</c:v>
                </c:pt>
                <c:pt idx="15">
                  <c:v>88.85</c:v>
                </c:pt>
                <c:pt idx="16">
                  <c:v>84.77</c:v>
                </c:pt>
                <c:pt idx="17">
                  <c:v>91.59</c:v>
                </c:pt>
                <c:pt idx="18">
                  <c:v>92.75</c:v>
                </c:pt>
                <c:pt idx="19">
                  <c:v>93.81</c:v>
                </c:pt>
                <c:pt idx="20">
                  <c:v>93.37</c:v>
                </c:pt>
                <c:pt idx="21">
                  <c:v>85.4</c:v>
                </c:pt>
                <c:pt idx="22">
                  <c:v>89</c:v>
                </c:pt>
                <c:pt idx="23">
                  <c:v>90.11</c:v>
                </c:pt>
                <c:pt idx="24">
                  <c:v>86.97</c:v>
                </c:pt>
                <c:pt idx="25">
                  <c:v>90.04</c:v>
                </c:pt>
                <c:pt idx="26">
                  <c:v>87.86</c:v>
                </c:pt>
                <c:pt idx="27">
                  <c:v>87.11</c:v>
                </c:pt>
                <c:pt idx="28">
                  <c:v>86.32</c:v>
                </c:pt>
                <c:pt idx="29">
                  <c:v>90.16</c:v>
                </c:pt>
                <c:pt idx="30">
                  <c:v>91.37</c:v>
                </c:pt>
                <c:pt idx="31">
                  <c:v>88.47</c:v>
                </c:pt>
                <c:pt idx="32">
                  <c:v>88.21</c:v>
                </c:pt>
                <c:pt idx="33">
                  <c:v>85.66</c:v>
                </c:pt>
                <c:pt idx="34">
                  <c:v>89.37</c:v>
                </c:pt>
                <c:pt idx="35">
                  <c:v>83.31</c:v>
                </c:pt>
                <c:pt idx="36">
                  <c:v>90.71</c:v>
                </c:pt>
                <c:pt idx="37">
                  <c:v>86.61</c:v>
                </c:pt>
                <c:pt idx="38">
                  <c:v>91.48</c:v>
                </c:pt>
                <c:pt idx="39">
                  <c:v>87.16</c:v>
                </c:pt>
                <c:pt idx="40">
                  <c:v>91.87</c:v>
                </c:pt>
                <c:pt idx="41">
                  <c:v>88.32</c:v>
                </c:pt>
                <c:pt idx="42">
                  <c:v>88.65</c:v>
                </c:pt>
                <c:pt idx="43">
                  <c:v>86.19</c:v>
                </c:pt>
                <c:pt idx="44">
                  <c:v>80.05</c:v>
                </c:pt>
                <c:pt idx="45">
                  <c:v>87.64</c:v>
                </c:pt>
                <c:pt idx="46">
                  <c:v>83.48</c:v>
                </c:pt>
                <c:pt idx="47">
                  <c:v>82.71</c:v>
                </c:pt>
                <c:pt idx="48">
                  <c:v>79.95</c:v>
                </c:pt>
                <c:pt idx="49">
                  <c:v>78.5</c:v>
                </c:pt>
                <c:pt idx="50">
                  <c:v>87.08</c:v>
                </c:pt>
                <c:pt idx="51">
                  <c:v>82.04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CF5-4AF5-88AE-D46B75D06CDE}"/>
            </c:ext>
          </c:extLst>
        </c:ser>
        <c:ser>
          <c:idx val="1"/>
          <c:order val="1"/>
          <c:tx>
            <c:strRef>
              <c:f>results_pred_prec!$H$3</c:f>
              <c:strCache>
                <c:ptCount val="1"/>
                <c:pt idx="0">
                  <c:v>FLOOR =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results_pred_prec!$H$4:$H$55</c:f>
              <c:numCache>
                <c:formatCode>General</c:formatCode>
                <c:ptCount val="52"/>
                <c:pt idx="0">
                  <c:v>81.11</c:v>
                </c:pt>
                <c:pt idx="1">
                  <c:v>75.709999999999994</c:v>
                </c:pt>
                <c:pt idx="2">
                  <c:v>73.319999999999993</c:v>
                </c:pt>
                <c:pt idx="3">
                  <c:v>80.88</c:v>
                </c:pt>
                <c:pt idx="4">
                  <c:v>80.400000000000006</c:v>
                </c:pt>
                <c:pt idx="5">
                  <c:v>82.07</c:v>
                </c:pt>
                <c:pt idx="6">
                  <c:v>79.739999999999995</c:v>
                </c:pt>
                <c:pt idx="7">
                  <c:v>82.07</c:v>
                </c:pt>
                <c:pt idx="8">
                  <c:v>80.69</c:v>
                </c:pt>
                <c:pt idx="9">
                  <c:v>83.22</c:v>
                </c:pt>
                <c:pt idx="10">
                  <c:v>69.03</c:v>
                </c:pt>
                <c:pt idx="11">
                  <c:v>66.540000000000006</c:v>
                </c:pt>
                <c:pt idx="12">
                  <c:v>74.930000000000007</c:v>
                </c:pt>
                <c:pt idx="13">
                  <c:v>82.32</c:v>
                </c:pt>
                <c:pt idx="14">
                  <c:v>82.03</c:v>
                </c:pt>
                <c:pt idx="15">
                  <c:v>78.41</c:v>
                </c:pt>
                <c:pt idx="16">
                  <c:v>66.97</c:v>
                </c:pt>
                <c:pt idx="17">
                  <c:v>83.41</c:v>
                </c:pt>
                <c:pt idx="18">
                  <c:v>80.180000000000007</c:v>
                </c:pt>
                <c:pt idx="19">
                  <c:v>77.03</c:v>
                </c:pt>
                <c:pt idx="20">
                  <c:v>83.79</c:v>
                </c:pt>
                <c:pt idx="21">
                  <c:v>69.77</c:v>
                </c:pt>
                <c:pt idx="22">
                  <c:v>73.44</c:v>
                </c:pt>
                <c:pt idx="23">
                  <c:v>77.12</c:v>
                </c:pt>
                <c:pt idx="24">
                  <c:v>79.099999999999994</c:v>
                </c:pt>
                <c:pt idx="25">
                  <c:v>79.040000000000006</c:v>
                </c:pt>
                <c:pt idx="26">
                  <c:v>68.349999999999994</c:v>
                </c:pt>
                <c:pt idx="27">
                  <c:v>64.819999999999993</c:v>
                </c:pt>
                <c:pt idx="28">
                  <c:v>71.739999999999995</c:v>
                </c:pt>
                <c:pt idx="29">
                  <c:v>71.239999999999995</c:v>
                </c:pt>
                <c:pt idx="30">
                  <c:v>80.930000000000007</c:v>
                </c:pt>
                <c:pt idx="31">
                  <c:v>76.040000000000006</c:v>
                </c:pt>
                <c:pt idx="32">
                  <c:v>67.62</c:v>
                </c:pt>
                <c:pt idx="33">
                  <c:v>70.03</c:v>
                </c:pt>
                <c:pt idx="34">
                  <c:v>78.87</c:v>
                </c:pt>
                <c:pt idx="35">
                  <c:v>71.48</c:v>
                </c:pt>
                <c:pt idx="36">
                  <c:v>76.56</c:v>
                </c:pt>
                <c:pt idx="37">
                  <c:v>74.760000000000005</c:v>
                </c:pt>
                <c:pt idx="38">
                  <c:v>75.349999999999994</c:v>
                </c:pt>
                <c:pt idx="39">
                  <c:v>68.319999999999993</c:v>
                </c:pt>
                <c:pt idx="40">
                  <c:v>80.39</c:v>
                </c:pt>
                <c:pt idx="41">
                  <c:v>76.510000000000005</c:v>
                </c:pt>
                <c:pt idx="42">
                  <c:v>72.58</c:v>
                </c:pt>
                <c:pt idx="43">
                  <c:v>70.709999999999994</c:v>
                </c:pt>
                <c:pt idx="44">
                  <c:v>57.77</c:v>
                </c:pt>
                <c:pt idx="45">
                  <c:v>67.27</c:v>
                </c:pt>
                <c:pt idx="46">
                  <c:v>69.680000000000007</c:v>
                </c:pt>
                <c:pt idx="47">
                  <c:v>54.58</c:v>
                </c:pt>
                <c:pt idx="48">
                  <c:v>49.55</c:v>
                </c:pt>
                <c:pt idx="49">
                  <c:v>56.61</c:v>
                </c:pt>
                <c:pt idx="50">
                  <c:v>77.150000000000006</c:v>
                </c:pt>
                <c:pt idx="51">
                  <c:v>69.66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CF5-4AF5-88AE-D46B75D06CDE}"/>
            </c:ext>
          </c:extLst>
        </c:ser>
        <c:ser>
          <c:idx val="2"/>
          <c:order val="2"/>
          <c:tx>
            <c:strRef>
              <c:f>results_pred_prec!$M$3</c:f>
              <c:strCache>
                <c:ptCount val="1"/>
                <c:pt idx="0">
                  <c:v>CEIL =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results_pred_prec!$M$4:$M$55</c:f>
              <c:numCache>
                <c:formatCode>General</c:formatCode>
                <c:ptCount val="52"/>
                <c:pt idx="0">
                  <c:v>76.27</c:v>
                </c:pt>
                <c:pt idx="1">
                  <c:v>81.78</c:v>
                </c:pt>
                <c:pt idx="2">
                  <c:v>76.98</c:v>
                </c:pt>
                <c:pt idx="3">
                  <c:v>73.260000000000005</c:v>
                </c:pt>
                <c:pt idx="4">
                  <c:v>88.19</c:v>
                </c:pt>
                <c:pt idx="5">
                  <c:v>64.98</c:v>
                </c:pt>
                <c:pt idx="6">
                  <c:v>72</c:v>
                </c:pt>
                <c:pt idx="7">
                  <c:v>80.88</c:v>
                </c:pt>
                <c:pt idx="8">
                  <c:v>83.06</c:v>
                </c:pt>
                <c:pt idx="9">
                  <c:v>83.92</c:v>
                </c:pt>
                <c:pt idx="10">
                  <c:v>74.84</c:v>
                </c:pt>
                <c:pt idx="11">
                  <c:v>55.04</c:v>
                </c:pt>
                <c:pt idx="12">
                  <c:v>77.28</c:v>
                </c:pt>
                <c:pt idx="13">
                  <c:v>82.58</c:v>
                </c:pt>
                <c:pt idx="14">
                  <c:v>84.15</c:v>
                </c:pt>
                <c:pt idx="15">
                  <c:v>79.83</c:v>
                </c:pt>
                <c:pt idx="16">
                  <c:v>72.260000000000005</c:v>
                </c:pt>
                <c:pt idx="17">
                  <c:v>83.05</c:v>
                </c:pt>
                <c:pt idx="18">
                  <c:v>79.92</c:v>
                </c:pt>
                <c:pt idx="19">
                  <c:v>86.84</c:v>
                </c:pt>
                <c:pt idx="20">
                  <c:v>88.4</c:v>
                </c:pt>
                <c:pt idx="21">
                  <c:v>69.12</c:v>
                </c:pt>
                <c:pt idx="22">
                  <c:v>78.95</c:v>
                </c:pt>
                <c:pt idx="23">
                  <c:v>72.349999999999994</c:v>
                </c:pt>
                <c:pt idx="24">
                  <c:v>73.290000000000006</c:v>
                </c:pt>
                <c:pt idx="25">
                  <c:v>78.27</c:v>
                </c:pt>
                <c:pt idx="26">
                  <c:v>78.42</c:v>
                </c:pt>
                <c:pt idx="27">
                  <c:v>73.58</c:v>
                </c:pt>
                <c:pt idx="28">
                  <c:v>76.900000000000006</c:v>
                </c:pt>
                <c:pt idx="29">
                  <c:v>79.27</c:v>
                </c:pt>
                <c:pt idx="30">
                  <c:v>78.989999999999995</c:v>
                </c:pt>
                <c:pt idx="31">
                  <c:v>76.55</c:v>
                </c:pt>
                <c:pt idx="32">
                  <c:v>75.78</c:v>
                </c:pt>
                <c:pt idx="33">
                  <c:v>64.209999999999994</c:v>
                </c:pt>
                <c:pt idx="34">
                  <c:v>75.44</c:v>
                </c:pt>
                <c:pt idx="35">
                  <c:v>57.63</c:v>
                </c:pt>
                <c:pt idx="36">
                  <c:v>72.680000000000007</c:v>
                </c:pt>
                <c:pt idx="37">
                  <c:v>69.55</c:v>
                </c:pt>
                <c:pt idx="38">
                  <c:v>84.39</c:v>
                </c:pt>
                <c:pt idx="39">
                  <c:v>74.319999999999993</c:v>
                </c:pt>
                <c:pt idx="40">
                  <c:v>74.45</c:v>
                </c:pt>
                <c:pt idx="41">
                  <c:v>72.53</c:v>
                </c:pt>
                <c:pt idx="42">
                  <c:v>76.36</c:v>
                </c:pt>
                <c:pt idx="43">
                  <c:v>68.900000000000006</c:v>
                </c:pt>
                <c:pt idx="44">
                  <c:v>63.99</c:v>
                </c:pt>
                <c:pt idx="45">
                  <c:v>80.12</c:v>
                </c:pt>
                <c:pt idx="46">
                  <c:v>54.97</c:v>
                </c:pt>
                <c:pt idx="47">
                  <c:v>70.06</c:v>
                </c:pt>
                <c:pt idx="48">
                  <c:v>63.78</c:v>
                </c:pt>
                <c:pt idx="49">
                  <c:v>65.28</c:v>
                </c:pt>
                <c:pt idx="50">
                  <c:v>56.66</c:v>
                </c:pt>
                <c:pt idx="51">
                  <c:v>62.54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CF5-4AF5-88AE-D46B75D06C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90275503"/>
        <c:axId val="2038495039"/>
      </c:lineChart>
      <c:catAx>
        <c:axId val="2090275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Store ID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8495039"/>
        <c:crosses val="autoZero"/>
        <c:auto val="1"/>
        <c:lblAlgn val="ctr"/>
        <c:lblOffset val="100"/>
        <c:noMultiLvlLbl val="0"/>
      </c:catAx>
      <c:valAx>
        <c:axId val="20384950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MAE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0275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478970</xdr:colOff>
      <xdr:row>2</xdr:row>
      <xdr:rowOff>5445</xdr:rowOff>
    </xdr:from>
    <xdr:to>
      <xdr:col>35</xdr:col>
      <xdr:colOff>91439</xdr:colOff>
      <xdr:row>37</xdr:row>
      <xdr:rowOff>53341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3B4B78-1761-7E49-8F27-E441860B0A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Q61"/>
  <sheetViews>
    <sheetView tabSelected="1" topLeftCell="M1" zoomScaleNormal="100" workbookViewId="0">
      <selection activeCell="W1" sqref="W1"/>
    </sheetView>
  </sheetViews>
  <sheetFormatPr defaultRowHeight="14.4" x14ac:dyDescent="0.3"/>
  <cols>
    <col min="3" max="3" width="12.109375" customWidth="1"/>
    <col min="4" max="4" width="11.21875" customWidth="1"/>
    <col min="5" max="5" width="11.109375" customWidth="1"/>
    <col min="6" max="6" width="11.44140625" customWidth="1"/>
    <col min="7" max="7" width="11.6640625" customWidth="1"/>
    <col min="8" max="8" width="11.44140625" customWidth="1"/>
    <col min="9" max="9" width="10.6640625" customWidth="1"/>
    <col min="10" max="10" width="10.77734375" customWidth="1"/>
    <col min="11" max="11" width="10.5546875" customWidth="1"/>
    <col min="12" max="12" width="11" customWidth="1"/>
    <col min="13" max="13" width="9.6640625" customWidth="1"/>
    <col min="14" max="14" width="10.5546875" customWidth="1"/>
    <col min="15" max="15" width="10.88671875" customWidth="1"/>
    <col min="16" max="16" width="10.44140625" customWidth="1"/>
    <col min="17" max="17" width="10.5546875" customWidth="1"/>
  </cols>
  <sheetData>
    <row r="3" spans="2:17" x14ac:dyDescent="0.3">
      <c r="B3" s="4" t="s">
        <v>19</v>
      </c>
      <c r="C3" s="4" t="s">
        <v>0</v>
      </c>
      <c r="D3" s="4" t="s">
        <v>1</v>
      </c>
      <c r="E3" s="4" t="s">
        <v>2</v>
      </c>
      <c r="F3" s="4" t="s">
        <v>3</v>
      </c>
      <c r="G3" s="4" t="s">
        <v>4</v>
      </c>
      <c r="H3" s="4" t="s">
        <v>5</v>
      </c>
      <c r="I3" s="4" t="s">
        <v>6</v>
      </c>
      <c r="J3" s="4" t="s">
        <v>7</v>
      </c>
      <c r="K3" s="4" t="s">
        <v>8</v>
      </c>
      <c r="L3" s="4" t="s">
        <v>9</v>
      </c>
      <c r="M3" s="4" t="s">
        <v>10</v>
      </c>
      <c r="N3" s="4" t="s">
        <v>11</v>
      </c>
      <c r="O3" s="4" t="s">
        <v>12</v>
      </c>
      <c r="P3" s="4" t="s">
        <v>13</v>
      </c>
      <c r="Q3" s="4" t="s">
        <v>14</v>
      </c>
    </row>
    <row r="4" spans="2:17" x14ac:dyDescent="0.3">
      <c r="B4" s="6">
        <v>10</v>
      </c>
      <c r="C4" s="5">
        <v>86.66</v>
      </c>
      <c r="D4" s="5">
        <v>5.08</v>
      </c>
      <c r="E4" s="5">
        <v>8.15</v>
      </c>
      <c r="F4" s="5">
        <v>0</v>
      </c>
      <c r="G4" s="5">
        <v>0.12</v>
      </c>
      <c r="H4" s="5">
        <v>81.11</v>
      </c>
      <c r="I4" s="5">
        <v>17.47</v>
      </c>
      <c r="J4" s="5">
        <v>1.18</v>
      </c>
      <c r="K4" s="5">
        <v>0</v>
      </c>
      <c r="L4" s="5">
        <v>0.24</v>
      </c>
      <c r="M4" s="5">
        <v>76.27</v>
      </c>
      <c r="N4" s="5">
        <v>0.71</v>
      </c>
      <c r="O4" s="5">
        <v>22.9</v>
      </c>
      <c r="P4" s="5">
        <v>0.12</v>
      </c>
      <c r="Q4" s="5">
        <v>0</v>
      </c>
    </row>
    <row r="5" spans="2:17" x14ac:dyDescent="0.3">
      <c r="B5" s="6">
        <v>11</v>
      </c>
      <c r="C5" s="5">
        <v>92.64</v>
      </c>
      <c r="D5" s="5">
        <v>3.36</v>
      </c>
      <c r="E5" s="5">
        <v>4.01</v>
      </c>
      <c r="F5" s="5">
        <v>0</v>
      </c>
      <c r="G5" s="5">
        <v>0</v>
      </c>
      <c r="H5" s="5">
        <v>75.709999999999994</v>
      </c>
      <c r="I5" s="5">
        <v>23.77</v>
      </c>
      <c r="J5" s="5">
        <v>0.52</v>
      </c>
      <c r="K5" s="5">
        <v>0</v>
      </c>
      <c r="L5" s="5">
        <v>0</v>
      </c>
      <c r="M5" s="5">
        <v>81.78</v>
      </c>
      <c r="N5" s="5">
        <v>0</v>
      </c>
      <c r="O5" s="5">
        <v>18.22</v>
      </c>
      <c r="P5" s="5">
        <v>0</v>
      </c>
      <c r="Q5" s="5">
        <v>0</v>
      </c>
    </row>
    <row r="6" spans="2:17" x14ac:dyDescent="0.3">
      <c r="B6" s="6">
        <v>13</v>
      </c>
      <c r="C6" s="5">
        <v>90.67</v>
      </c>
      <c r="D6" s="5">
        <v>5.31</v>
      </c>
      <c r="E6" s="5">
        <v>4.01</v>
      </c>
      <c r="F6" s="5">
        <v>0</v>
      </c>
      <c r="G6" s="5">
        <v>0</v>
      </c>
      <c r="H6" s="5">
        <v>73.319999999999993</v>
      </c>
      <c r="I6" s="5">
        <v>26.09</v>
      </c>
      <c r="J6" s="5">
        <v>0.59</v>
      </c>
      <c r="K6" s="5">
        <v>0</v>
      </c>
      <c r="L6" s="5">
        <v>0</v>
      </c>
      <c r="M6" s="5">
        <v>76.98</v>
      </c>
      <c r="N6" s="5">
        <v>0</v>
      </c>
      <c r="O6" s="5">
        <v>22.9</v>
      </c>
      <c r="P6" s="5">
        <v>0.12</v>
      </c>
      <c r="Q6" s="5">
        <v>0</v>
      </c>
    </row>
    <row r="7" spans="2:17" x14ac:dyDescent="0.3">
      <c r="B7" s="6">
        <v>14</v>
      </c>
      <c r="C7" s="5">
        <v>88.89</v>
      </c>
      <c r="D7" s="5">
        <v>4.01</v>
      </c>
      <c r="E7" s="5">
        <v>7.11</v>
      </c>
      <c r="F7" s="5">
        <v>0</v>
      </c>
      <c r="G7" s="5">
        <v>0</v>
      </c>
      <c r="H7" s="5">
        <v>80.88</v>
      </c>
      <c r="I7" s="5">
        <v>18.48</v>
      </c>
      <c r="J7" s="5">
        <v>0.65</v>
      </c>
      <c r="K7" s="5">
        <v>0</v>
      </c>
      <c r="L7" s="5">
        <v>0</v>
      </c>
      <c r="M7" s="5">
        <v>73.260000000000005</v>
      </c>
      <c r="N7" s="5">
        <v>0.26</v>
      </c>
      <c r="O7" s="5">
        <v>26.23</v>
      </c>
      <c r="P7" s="5">
        <v>0.26</v>
      </c>
      <c r="Q7" s="5">
        <v>0</v>
      </c>
    </row>
    <row r="8" spans="2:17" x14ac:dyDescent="0.3">
      <c r="B8" s="6">
        <v>15</v>
      </c>
      <c r="C8" s="5">
        <v>92.33</v>
      </c>
      <c r="D8" s="5">
        <v>5.43</v>
      </c>
      <c r="E8" s="5">
        <v>2.2400000000000002</v>
      </c>
      <c r="F8" s="5">
        <v>0</v>
      </c>
      <c r="G8" s="5">
        <v>0</v>
      </c>
      <c r="H8" s="5">
        <v>80.400000000000006</v>
      </c>
      <c r="I8" s="5">
        <v>19.13</v>
      </c>
      <c r="J8" s="5">
        <v>0.47</v>
      </c>
      <c r="K8" s="5">
        <v>0</v>
      </c>
      <c r="L8" s="5">
        <v>0</v>
      </c>
      <c r="M8" s="5">
        <v>88.19</v>
      </c>
      <c r="N8" s="5">
        <v>0.12</v>
      </c>
      <c r="O8" s="5">
        <v>11.69</v>
      </c>
      <c r="P8" s="5">
        <v>0</v>
      </c>
      <c r="Q8" s="5">
        <v>0</v>
      </c>
    </row>
    <row r="9" spans="2:17" x14ac:dyDescent="0.3">
      <c r="B9" s="6">
        <v>16</v>
      </c>
      <c r="C9" s="5">
        <v>88.93</v>
      </c>
      <c r="D9" s="5">
        <v>5.17</v>
      </c>
      <c r="E9" s="5">
        <v>5.9</v>
      </c>
      <c r="F9" s="5">
        <v>0</v>
      </c>
      <c r="G9" s="5">
        <v>0</v>
      </c>
      <c r="H9" s="5">
        <v>82.07</v>
      </c>
      <c r="I9" s="5">
        <v>17.09</v>
      </c>
      <c r="J9" s="5">
        <v>0.84</v>
      </c>
      <c r="K9" s="5">
        <v>0</v>
      </c>
      <c r="L9" s="5">
        <v>0</v>
      </c>
      <c r="M9" s="5">
        <v>64.98</v>
      </c>
      <c r="N9" s="5">
        <v>0.36</v>
      </c>
      <c r="O9" s="5">
        <v>34.659999999999997</v>
      </c>
      <c r="P9" s="5">
        <v>0</v>
      </c>
      <c r="Q9" s="5">
        <v>0</v>
      </c>
    </row>
    <row r="10" spans="2:17" x14ac:dyDescent="0.3">
      <c r="B10" s="6">
        <v>17</v>
      </c>
      <c r="C10" s="5">
        <v>89.29</v>
      </c>
      <c r="D10" s="5">
        <v>4.9000000000000004</v>
      </c>
      <c r="E10" s="5">
        <v>5.81</v>
      </c>
      <c r="F10" s="5">
        <v>0</v>
      </c>
      <c r="G10" s="5">
        <v>0</v>
      </c>
      <c r="H10" s="5">
        <v>79.739999999999995</v>
      </c>
      <c r="I10" s="5">
        <v>20.13</v>
      </c>
      <c r="J10" s="5">
        <v>0.13</v>
      </c>
      <c r="K10" s="5">
        <v>0</v>
      </c>
      <c r="L10" s="5">
        <v>0</v>
      </c>
      <c r="M10" s="5">
        <v>72</v>
      </c>
      <c r="N10" s="5">
        <v>0.13</v>
      </c>
      <c r="O10" s="5">
        <v>27.87</v>
      </c>
      <c r="P10" s="5">
        <v>0</v>
      </c>
      <c r="Q10" s="5">
        <v>0</v>
      </c>
    </row>
    <row r="11" spans="2:17" x14ac:dyDescent="0.3">
      <c r="B11" s="6">
        <v>18</v>
      </c>
      <c r="C11" s="5">
        <v>90.74</v>
      </c>
      <c r="D11" s="5">
        <v>4.75</v>
      </c>
      <c r="E11" s="5">
        <v>4.3899999999999997</v>
      </c>
      <c r="F11" s="5">
        <v>0</v>
      </c>
      <c r="G11" s="5">
        <v>0.12</v>
      </c>
      <c r="H11" s="5">
        <v>82.07</v>
      </c>
      <c r="I11" s="5">
        <v>16.510000000000002</v>
      </c>
      <c r="J11" s="5">
        <v>0.83</v>
      </c>
      <c r="K11" s="5">
        <v>0</v>
      </c>
      <c r="L11" s="5">
        <v>0.59</v>
      </c>
      <c r="M11" s="5">
        <v>80.88</v>
      </c>
      <c r="N11" s="5">
        <v>1.07</v>
      </c>
      <c r="O11" s="5">
        <v>18.05</v>
      </c>
      <c r="P11" s="5">
        <v>0</v>
      </c>
      <c r="Q11" s="5">
        <v>0</v>
      </c>
    </row>
    <row r="12" spans="2:17" x14ac:dyDescent="0.3">
      <c r="B12" s="6">
        <v>19</v>
      </c>
      <c r="C12" s="5">
        <v>89.81</v>
      </c>
      <c r="D12" s="5">
        <v>4.2699999999999996</v>
      </c>
      <c r="E12" s="5">
        <v>5.92</v>
      </c>
      <c r="F12" s="5">
        <v>0</v>
      </c>
      <c r="G12" s="5">
        <v>0</v>
      </c>
      <c r="H12" s="5">
        <v>80.69</v>
      </c>
      <c r="I12" s="5">
        <v>17.89</v>
      </c>
      <c r="J12" s="5">
        <v>1.42</v>
      </c>
      <c r="K12" s="5">
        <v>0</v>
      </c>
      <c r="L12" s="5">
        <v>0</v>
      </c>
      <c r="M12" s="5">
        <v>83.06</v>
      </c>
      <c r="N12" s="5">
        <v>0.12</v>
      </c>
      <c r="O12" s="5">
        <v>16.350000000000001</v>
      </c>
      <c r="P12" s="5">
        <v>0.47</v>
      </c>
      <c r="Q12" s="5">
        <v>0</v>
      </c>
    </row>
    <row r="13" spans="2:17" x14ac:dyDescent="0.3">
      <c r="B13" s="6">
        <v>20</v>
      </c>
      <c r="C13" s="5">
        <v>90.43</v>
      </c>
      <c r="D13" s="5">
        <v>4.37</v>
      </c>
      <c r="E13" s="5">
        <v>5.08</v>
      </c>
      <c r="F13" s="5">
        <v>0.12</v>
      </c>
      <c r="G13" s="5">
        <v>0</v>
      </c>
      <c r="H13" s="5">
        <v>83.22</v>
      </c>
      <c r="I13" s="5">
        <v>15.72</v>
      </c>
      <c r="J13" s="5">
        <v>1.06</v>
      </c>
      <c r="K13" s="5">
        <v>0</v>
      </c>
      <c r="L13" s="5">
        <v>0</v>
      </c>
      <c r="M13" s="5">
        <v>83.92</v>
      </c>
      <c r="N13" s="5">
        <v>0.47</v>
      </c>
      <c r="O13" s="5">
        <v>15.13</v>
      </c>
      <c r="P13" s="5">
        <v>0.47</v>
      </c>
      <c r="Q13" s="5">
        <v>0</v>
      </c>
    </row>
    <row r="14" spans="2:17" x14ac:dyDescent="0.3">
      <c r="B14" s="6">
        <v>21</v>
      </c>
      <c r="C14" s="5">
        <v>86.84</v>
      </c>
      <c r="D14" s="5">
        <v>7.35</v>
      </c>
      <c r="E14" s="5">
        <v>5.81</v>
      </c>
      <c r="F14" s="5">
        <v>0</v>
      </c>
      <c r="G14" s="5">
        <v>0</v>
      </c>
      <c r="H14" s="5">
        <v>69.03</v>
      </c>
      <c r="I14" s="5">
        <v>30.84</v>
      </c>
      <c r="J14" s="5">
        <v>0.13</v>
      </c>
      <c r="K14" s="5">
        <v>0</v>
      </c>
      <c r="L14" s="5">
        <v>0</v>
      </c>
      <c r="M14" s="5">
        <v>74.84</v>
      </c>
      <c r="N14" s="5">
        <v>0.39</v>
      </c>
      <c r="O14" s="5">
        <v>24.77</v>
      </c>
      <c r="P14" s="5">
        <v>0</v>
      </c>
      <c r="Q14" s="5">
        <v>0</v>
      </c>
    </row>
    <row r="15" spans="2:17" x14ac:dyDescent="0.3">
      <c r="B15" s="6">
        <v>22</v>
      </c>
      <c r="C15" s="5">
        <v>83.2</v>
      </c>
      <c r="D15" s="5">
        <v>5.17</v>
      </c>
      <c r="E15" s="5">
        <v>11.11</v>
      </c>
      <c r="F15" s="5">
        <v>0</v>
      </c>
      <c r="G15" s="5">
        <v>0.52</v>
      </c>
      <c r="H15" s="5">
        <v>66.540000000000006</v>
      </c>
      <c r="I15" s="5">
        <v>32.299999999999997</v>
      </c>
      <c r="J15" s="5">
        <v>0.65</v>
      </c>
      <c r="K15" s="5">
        <v>0</v>
      </c>
      <c r="L15" s="5">
        <v>0.52</v>
      </c>
      <c r="M15" s="5">
        <v>55.04</v>
      </c>
      <c r="N15" s="5">
        <v>0.65</v>
      </c>
      <c r="O15" s="5">
        <v>44.06</v>
      </c>
      <c r="P15" s="5">
        <v>0.13</v>
      </c>
      <c r="Q15" s="5">
        <v>0.13</v>
      </c>
    </row>
    <row r="16" spans="2:17" x14ac:dyDescent="0.3">
      <c r="B16" s="6">
        <v>25</v>
      </c>
      <c r="C16" s="5">
        <v>86.81</v>
      </c>
      <c r="D16" s="5">
        <v>5.48</v>
      </c>
      <c r="E16" s="5">
        <v>7.7</v>
      </c>
      <c r="F16" s="5">
        <v>0</v>
      </c>
      <c r="G16" s="5">
        <v>0</v>
      </c>
      <c r="H16" s="5">
        <v>74.930000000000007</v>
      </c>
      <c r="I16" s="5">
        <v>24.54</v>
      </c>
      <c r="J16" s="5">
        <v>0.52</v>
      </c>
      <c r="K16" s="5">
        <v>0</v>
      </c>
      <c r="L16" s="5">
        <v>0</v>
      </c>
      <c r="M16" s="5">
        <v>77.28</v>
      </c>
      <c r="N16" s="5">
        <v>0.52</v>
      </c>
      <c r="O16" s="5">
        <v>22.19</v>
      </c>
      <c r="P16" s="5">
        <v>0</v>
      </c>
      <c r="Q16" s="5">
        <v>0</v>
      </c>
    </row>
    <row r="17" spans="2:17" x14ac:dyDescent="0.3">
      <c r="B17" s="6">
        <v>26</v>
      </c>
      <c r="C17" s="5">
        <v>91.87</v>
      </c>
      <c r="D17" s="5">
        <v>4.26</v>
      </c>
      <c r="E17" s="5">
        <v>3.87</v>
      </c>
      <c r="F17" s="5">
        <v>0</v>
      </c>
      <c r="G17" s="5">
        <v>0</v>
      </c>
      <c r="H17" s="5">
        <v>82.32</v>
      </c>
      <c r="I17" s="5">
        <v>17.420000000000002</v>
      </c>
      <c r="J17" s="5">
        <v>0.26</v>
      </c>
      <c r="K17" s="5">
        <v>0</v>
      </c>
      <c r="L17" s="5">
        <v>0</v>
      </c>
      <c r="M17" s="5">
        <v>82.58</v>
      </c>
      <c r="N17" s="5">
        <v>0.13</v>
      </c>
      <c r="O17" s="5">
        <v>17.29</v>
      </c>
      <c r="P17" s="5">
        <v>0</v>
      </c>
      <c r="Q17" s="5">
        <v>0</v>
      </c>
    </row>
    <row r="18" spans="2:17" x14ac:dyDescent="0.3">
      <c r="B18" s="6">
        <v>30</v>
      </c>
      <c r="C18" s="5">
        <v>92.73</v>
      </c>
      <c r="D18" s="5">
        <v>4.0999999999999996</v>
      </c>
      <c r="E18" s="5">
        <v>3.17</v>
      </c>
      <c r="F18" s="5">
        <v>0</v>
      </c>
      <c r="G18" s="5">
        <v>0</v>
      </c>
      <c r="H18" s="5">
        <v>82.03</v>
      </c>
      <c r="I18" s="5">
        <v>17.440000000000001</v>
      </c>
      <c r="J18" s="5">
        <v>0.53</v>
      </c>
      <c r="K18" s="5">
        <v>0</v>
      </c>
      <c r="L18" s="5">
        <v>0</v>
      </c>
      <c r="M18" s="5">
        <v>84.15</v>
      </c>
      <c r="N18" s="5">
        <v>0.4</v>
      </c>
      <c r="O18" s="5">
        <v>15.46</v>
      </c>
      <c r="P18" s="5">
        <v>0</v>
      </c>
      <c r="Q18" s="5">
        <v>0</v>
      </c>
    </row>
    <row r="19" spans="2:17" x14ac:dyDescent="0.3">
      <c r="B19" s="6">
        <v>31</v>
      </c>
      <c r="C19" s="5">
        <v>88.85</v>
      </c>
      <c r="D19" s="5">
        <v>4.63</v>
      </c>
      <c r="E19" s="5">
        <v>6.52</v>
      </c>
      <c r="F19" s="5">
        <v>0</v>
      </c>
      <c r="G19" s="5">
        <v>0</v>
      </c>
      <c r="H19" s="5">
        <v>78.41</v>
      </c>
      <c r="I19" s="5">
        <v>21.47</v>
      </c>
      <c r="J19" s="5">
        <v>0.12</v>
      </c>
      <c r="K19" s="5">
        <v>0</v>
      </c>
      <c r="L19" s="5">
        <v>0</v>
      </c>
      <c r="M19" s="5">
        <v>79.83</v>
      </c>
      <c r="N19" s="5">
        <v>0.83</v>
      </c>
      <c r="O19" s="5">
        <v>19.34</v>
      </c>
      <c r="P19" s="5">
        <v>0</v>
      </c>
      <c r="Q19" s="5">
        <v>0</v>
      </c>
    </row>
    <row r="20" spans="2:17" x14ac:dyDescent="0.3">
      <c r="B20" s="6">
        <v>32</v>
      </c>
      <c r="C20" s="5">
        <v>84.77</v>
      </c>
      <c r="D20" s="5">
        <v>10.45</v>
      </c>
      <c r="E20" s="5">
        <v>4.7699999999999996</v>
      </c>
      <c r="F20" s="5">
        <v>0</v>
      </c>
      <c r="G20" s="5">
        <v>0</v>
      </c>
      <c r="H20" s="5">
        <v>66.97</v>
      </c>
      <c r="I20" s="5">
        <v>32.520000000000003</v>
      </c>
      <c r="J20" s="5">
        <v>0.26</v>
      </c>
      <c r="K20" s="5">
        <v>0</v>
      </c>
      <c r="L20" s="5">
        <v>0.26</v>
      </c>
      <c r="M20" s="5">
        <v>72.260000000000005</v>
      </c>
      <c r="N20" s="5">
        <v>0.9</v>
      </c>
      <c r="O20" s="5">
        <v>26.84</v>
      </c>
      <c r="P20" s="5">
        <v>0</v>
      </c>
      <c r="Q20" s="5">
        <v>0</v>
      </c>
    </row>
    <row r="21" spans="2:17" x14ac:dyDescent="0.3">
      <c r="B21" s="6">
        <v>33</v>
      </c>
      <c r="C21" s="5">
        <v>91.59</v>
      </c>
      <c r="D21" s="5">
        <v>4.57</v>
      </c>
      <c r="E21" s="5">
        <v>3.85</v>
      </c>
      <c r="F21" s="5">
        <v>0</v>
      </c>
      <c r="G21" s="5">
        <v>0</v>
      </c>
      <c r="H21" s="5">
        <v>83.41</v>
      </c>
      <c r="I21" s="5">
        <v>16.23</v>
      </c>
      <c r="J21" s="5">
        <v>0.36</v>
      </c>
      <c r="K21" s="5">
        <v>0</v>
      </c>
      <c r="L21" s="5">
        <v>0</v>
      </c>
      <c r="M21" s="5">
        <v>83.05</v>
      </c>
      <c r="N21" s="5">
        <v>0</v>
      </c>
      <c r="O21" s="5">
        <v>16.95</v>
      </c>
      <c r="P21" s="5">
        <v>0</v>
      </c>
      <c r="Q21" s="5">
        <v>0</v>
      </c>
    </row>
    <row r="22" spans="2:17" x14ac:dyDescent="0.3">
      <c r="B22" s="6">
        <v>34</v>
      </c>
      <c r="C22" s="5">
        <v>92.75</v>
      </c>
      <c r="D22" s="5">
        <v>3.63</v>
      </c>
      <c r="E22" s="5">
        <v>3.63</v>
      </c>
      <c r="F22" s="5">
        <v>0</v>
      </c>
      <c r="G22" s="5">
        <v>0</v>
      </c>
      <c r="H22" s="5">
        <v>80.180000000000007</v>
      </c>
      <c r="I22" s="5">
        <v>19.3</v>
      </c>
      <c r="J22" s="5">
        <v>0.52</v>
      </c>
      <c r="K22" s="5">
        <v>0</v>
      </c>
      <c r="L22" s="5">
        <v>0</v>
      </c>
      <c r="M22" s="5">
        <v>79.92</v>
      </c>
      <c r="N22" s="5">
        <v>0</v>
      </c>
      <c r="O22" s="5">
        <v>20.079999999999998</v>
      </c>
      <c r="P22" s="5">
        <v>0</v>
      </c>
      <c r="Q22" s="5">
        <v>0</v>
      </c>
    </row>
    <row r="23" spans="2:17" x14ac:dyDescent="0.3">
      <c r="B23" s="6">
        <v>35</v>
      </c>
      <c r="C23" s="5">
        <v>93.81</v>
      </c>
      <c r="D23" s="5">
        <v>4.3899999999999997</v>
      </c>
      <c r="E23" s="5">
        <v>1.81</v>
      </c>
      <c r="F23" s="5">
        <v>0</v>
      </c>
      <c r="G23" s="5">
        <v>0</v>
      </c>
      <c r="H23" s="5">
        <v>77.03</v>
      </c>
      <c r="I23" s="5">
        <v>22.84</v>
      </c>
      <c r="J23" s="5">
        <v>0.13</v>
      </c>
      <c r="K23" s="5">
        <v>0</v>
      </c>
      <c r="L23" s="5">
        <v>0</v>
      </c>
      <c r="M23" s="5">
        <v>86.84</v>
      </c>
      <c r="N23" s="5">
        <v>0</v>
      </c>
      <c r="O23" s="5">
        <v>13.16</v>
      </c>
      <c r="P23" s="5">
        <v>0</v>
      </c>
      <c r="Q23" s="5">
        <v>0</v>
      </c>
    </row>
    <row r="24" spans="2:17" x14ac:dyDescent="0.3">
      <c r="B24" s="6">
        <v>37</v>
      </c>
      <c r="C24" s="5">
        <v>93.37</v>
      </c>
      <c r="D24" s="5">
        <v>4.5</v>
      </c>
      <c r="E24" s="5">
        <v>2.13</v>
      </c>
      <c r="F24" s="5">
        <v>0</v>
      </c>
      <c r="G24" s="5">
        <v>0</v>
      </c>
      <c r="H24" s="5">
        <v>83.79</v>
      </c>
      <c r="I24" s="5">
        <v>15.86</v>
      </c>
      <c r="J24" s="5">
        <v>0.12</v>
      </c>
      <c r="K24" s="5">
        <v>0</v>
      </c>
      <c r="L24" s="5">
        <v>0.24</v>
      </c>
      <c r="M24" s="5">
        <v>88.4</v>
      </c>
      <c r="N24" s="5">
        <v>0.59</v>
      </c>
      <c r="O24" s="5">
        <v>11.01</v>
      </c>
      <c r="P24" s="5">
        <v>0</v>
      </c>
      <c r="Q24" s="5">
        <v>0</v>
      </c>
    </row>
    <row r="25" spans="2:17" x14ac:dyDescent="0.3">
      <c r="B25" s="6">
        <v>38</v>
      </c>
      <c r="C25" s="5">
        <v>85.4</v>
      </c>
      <c r="D25" s="5">
        <v>6.98</v>
      </c>
      <c r="E25" s="5">
        <v>7.62</v>
      </c>
      <c r="F25" s="5">
        <v>0</v>
      </c>
      <c r="G25" s="5">
        <v>0</v>
      </c>
      <c r="H25" s="5">
        <v>69.77</v>
      </c>
      <c r="I25" s="5">
        <v>29.84</v>
      </c>
      <c r="J25" s="5">
        <v>0.39</v>
      </c>
      <c r="K25" s="5">
        <v>0</v>
      </c>
      <c r="L25" s="5">
        <v>0</v>
      </c>
      <c r="M25" s="5">
        <v>69.12</v>
      </c>
      <c r="N25" s="5">
        <v>0.26</v>
      </c>
      <c r="O25" s="5">
        <v>30.62</v>
      </c>
      <c r="P25" s="5">
        <v>0</v>
      </c>
      <c r="Q25" s="5">
        <v>0</v>
      </c>
    </row>
    <row r="26" spans="2:17" x14ac:dyDescent="0.3">
      <c r="B26" s="6">
        <v>39</v>
      </c>
      <c r="C26" s="5">
        <v>89</v>
      </c>
      <c r="D26" s="5">
        <v>8.73</v>
      </c>
      <c r="E26" s="5">
        <v>2.27</v>
      </c>
      <c r="F26" s="5">
        <v>0</v>
      </c>
      <c r="G26" s="5">
        <v>0</v>
      </c>
      <c r="H26" s="5">
        <v>73.44</v>
      </c>
      <c r="I26" s="5">
        <v>26.32</v>
      </c>
      <c r="J26" s="5">
        <v>0.12</v>
      </c>
      <c r="K26" s="5">
        <v>0</v>
      </c>
      <c r="L26" s="5">
        <v>0.12</v>
      </c>
      <c r="M26" s="5">
        <v>78.95</v>
      </c>
      <c r="N26" s="5">
        <v>0.48</v>
      </c>
      <c r="O26" s="5">
        <v>20.57</v>
      </c>
      <c r="P26" s="5">
        <v>0</v>
      </c>
      <c r="Q26" s="5">
        <v>0</v>
      </c>
    </row>
    <row r="27" spans="2:17" x14ac:dyDescent="0.3">
      <c r="B27" s="6">
        <v>40</v>
      </c>
      <c r="C27" s="5">
        <v>90.11</v>
      </c>
      <c r="D27" s="5">
        <v>4.29</v>
      </c>
      <c r="E27" s="5">
        <v>5.6</v>
      </c>
      <c r="F27" s="5">
        <v>0</v>
      </c>
      <c r="G27" s="5">
        <v>0</v>
      </c>
      <c r="H27" s="5">
        <v>77.12</v>
      </c>
      <c r="I27" s="5">
        <v>22.17</v>
      </c>
      <c r="J27" s="5">
        <v>0.6</v>
      </c>
      <c r="K27" s="5">
        <v>0</v>
      </c>
      <c r="L27" s="5">
        <v>0.12</v>
      </c>
      <c r="M27" s="5">
        <v>72.349999999999994</v>
      </c>
      <c r="N27" s="5">
        <v>0.12</v>
      </c>
      <c r="O27" s="5">
        <v>27.41</v>
      </c>
      <c r="P27" s="5">
        <v>0.12</v>
      </c>
      <c r="Q27" s="5">
        <v>0</v>
      </c>
    </row>
    <row r="28" spans="2:17" x14ac:dyDescent="0.3">
      <c r="B28" s="6">
        <v>41</v>
      </c>
      <c r="C28" s="5">
        <v>86.97</v>
      </c>
      <c r="D28" s="5">
        <v>6.19</v>
      </c>
      <c r="E28" s="5">
        <v>6.58</v>
      </c>
      <c r="F28" s="5">
        <v>0</v>
      </c>
      <c r="G28" s="5">
        <v>0.26</v>
      </c>
      <c r="H28" s="5">
        <v>79.099999999999994</v>
      </c>
      <c r="I28" s="5">
        <v>18.71</v>
      </c>
      <c r="J28" s="5">
        <v>1.29</v>
      </c>
      <c r="K28" s="5">
        <v>0</v>
      </c>
      <c r="L28" s="5">
        <v>0.9</v>
      </c>
      <c r="M28" s="5">
        <v>73.290000000000006</v>
      </c>
      <c r="N28" s="5">
        <v>1.03</v>
      </c>
      <c r="O28" s="5">
        <v>25.29</v>
      </c>
      <c r="P28" s="5">
        <v>0.26</v>
      </c>
      <c r="Q28" s="5">
        <v>0.13</v>
      </c>
    </row>
    <row r="29" spans="2:17" x14ac:dyDescent="0.3">
      <c r="B29" s="6">
        <v>42</v>
      </c>
      <c r="C29" s="5">
        <v>90.04</v>
      </c>
      <c r="D29" s="5">
        <v>2.98</v>
      </c>
      <c r="E29" s="5">
        <v>6.99</v>
      </c>
      <c r="F29" s="5">
        <v>0</v>
      </c>
      <c r="G29" s="5">
        <v>0</v>
      </c>
      <c r="H29" s="5">
        <v>79.040000000000006</v>
      </c>
      <c r="I29" s="5">
        <v>20.05</v>
      </c>
      <c r="J29" s="5">
        <v>0.91</v>
      </c>
      <c r="K29" s="5">
        <v>0</v>
      </c>
      <c r="L29" s="5">
        <v>0</v>
      </c>
      <c r="M29" s="5">
        <v>78.27</v>
      </c>
      <c r="N29" s="5">
        <v>0</v>
      </c>
      <c r="O29" s="5">
        <v>21.73</v>
      </c>
      <c r="P29" s="5">
        <v>0</v>
      </c>
      <c r="Q29" s="5">
        <v>0</v>
      </c>
    </row>
    <row r="30" spans="2:17" x14ac:dyDescent="0.3">
      <c r="B30" s="6">
        <v>43</v>
      </c>
      <c r="C30" s="5">
        <v>87.86</v>
      </c>
      <c r="D30" s="5">
        <v>5.68</v>
      </c>
      <c r="E30" s="5">
        <v>6.46</v>
      </c>
      <c r="F30" s="5">
        <v>0</v>
      </c>
      <c r="G30" s="5">
        <v>0</v>
      </c>
      <c r="H30" s="5">
        <v>68.349999999999994</v>
      </c>
      <c r="I30" s="5">
        <v>31.01</v>
      </c>
      <c r="J30" s="5">
        <v>0.52</v>
      </c>
      <c r="K30" s="5">
        <v>0</v>
      </c>
      <c r="L30" s="5">
        <v>0.13</v>
      </c>
      <c r="M30" s="5">
        <v>78.42</v>
      </c>
      <c r="N30" s="5">
        <v>0.39</v>
      </c>
      <c r="O30" s="5">
        <v>20.8</v>
      </c>
      <c r="P30" s="5">
        <v>0.39</v>
      </c>
      <c r="Q30" s="5">
        <v>0</v>
      </c>
    </row>
    <row r="31" spans="2:17" x14ac:dyDescent="0.3">
      <c r="B31" s="6">
        <v>45</v>
      </c>
      <c r="C31" s="5">
        <v>87.11</v>
      </c>
      <c r="D31" s="5">
        <v>8.51</v>
      </c>
      <c r="E31" s="5">
        <v>4.38</v>
      </c>
      <c r="F31" s="5">
        <v>0</v>
      </c>
      <c r="G31" s="5">
        <v>0</v>
      </c>
      <c r="H31" s="5">
        <v>64.819999999999993</v>
      </c>
      <c r="I31" s="5">
        <v>35.049999999999997</v>
      </c>
      <c r="J31" s="5">
        <v>0.13</v>
      </c>
      <c r="K31" s="5">
        <v>0</v>
      </c>
      <c r="L31" s="5">
        <v>0</v>
      </c>
      <c r="M31" s="5">
        <v>73.58</v>
      </c>
      <c r="N31" s="5">
        <v>0.64</v>
      </c>
      <c r="O31" s="5">
        <v>25.77</v>
      </c>
      <c r="P31" s="5">
        <v>0</v>
      </c>
      <c r="Q31" s="5">
        <v>0</v>
      </c>
    </row>
    <row r="32" spans="2:17" x14ac:dyDescent="0.3">
      <c r="B32" s="6">
        <v>49</v>
      </c>
      <c r="C32" s="5">
        <v>86.32</v>
      </c>
      <c r="D32" s="5">
        <v>8.9</v>
      </c>
      <c r="E32" s="5">
        <v>4.7699999999999996</v>
      </c>
      <c r="F32" s="5">
        <v>0</v>
      </c>
      <c r="G32" s="5">
        <v>0</v>
      </c>
      <c r="H32" s="5">
        <v>71.739999999999995</v>
      </c>
      <c r="I32" s="5">
        <v>27.87</v>
      </c>
      <c r="J32" s="5">
        <v>0.39</v>
      </c>
      <c r="K32" s="5">
        <v>0</v>
      </c>
      <c r="L32" s="5">
        <v>0</v>
      </c>
      <c r="M32" s="5">
        <v>76.900000000000006</v>
      </c>
      <c r="N32" s="5">
        <v>0.26</v>
      </c>
      <c r="O32" s="5">
        <v>22.84</v>
      </c>
      <c r="P32" s="5">
        <v>0</v>
      </c>
      <c r="Q32" s="5">
        <v>0</v>
      </c>
    </row>
    <row r="33" spans="2:17" x14ac:dyDescent="0.3">
      <c r="B33" s="6">
        <v>50</v>
      </c>
      <c r="C33" s="5">
        <v>90.16</v>
      </c>
      <c r="D33" s="5">
        <v>6.48</v>
      </c>
      <c r="E33" s="5">
        <v>3.37</v>
      </c>
      <c r="F33" s="5">
        <v>0</v>
      </c>
      <c r="G33" s="5">
        <v>0</v>
      </c>
      <c r="H33" s="5">
        <v>71.239999999999995</v>
      </c>
      <c r="I33" s="5">
        <v>28.5</v>
      </c>
      <c r="J33" s="5">
        <v>0.26</v>
      </c>
      <c r="K33" s="5">
        <v>0</v>
      </c>
      <c r="L33" s="5">
        <v>0</v>
      </c>
      <c r="M33" s="5">
        <v>79.27</v>
      </c>
      <c r="N33" s="5">
        <v>0.52</v>
      </c>
      <c r="O33" s="5">
        <v>20.21</v>
      </c>
      <c r="P33" s="5">
        <v>0</v>
      </c>
      <c r="Q33" s="5">
        <v>0</v>
      </c>
    </row>
    <row r="34" spans="2:17" x14ac:dyDescent="0.3">
      <c r="B34" s="6">
        <v>51</v>
      </c>
      <c r="C34" s="5">
        <v>91.37</v>
      </c>
      <c r="D34" s="5">
        <v>4.38</v>
      </c>
      <c r="E34" s="5">
        <v>4.25</v>
      </c>
      <c r="F34" s="5">
        <v>0</v>
      </c>
      <c r="G34" s="5">
        <v>0</v>
      </c>
      <c r="H34" s="5">
        <v>80.930000000000007</v>
      </c>
      <c r="I34" s="5">
        <v>18.940000000000001</v>
      </c>
      <c r="J34" s="5">
        <v>0</v>
      </c>
      <c r="K34" s="5">
        <v>0</v>
      </c>
      <c r="L34" s="5">
        <v>0.13</v>
      </c>
      <c r="M34" s="5">
        <v>78.989999999999995</v>
      </c>
      <c r="N34" s="5">
        <v>0.13</v>
      </c>
      <c r="O34" s="5">
        <v>20.88</v>
      </c>
      <c r="P34" s="5">
        <v>0</v>
      </c>
      <c r="Q34" s="5">
        <v>0</v>
      </c>
    </row>
    <row r="35" spans="2:17" x14ac:dyDescent="0.3">
      <c r="B35" s="6">
        <v>52</v>
      </c>
      <c r="C35" s="5">
        <v>88.47</v>
      </c>
      <c r="D35" s="5">
        <v>4.92</v>
      </c>
      <c r="E35" s="5">
        <v>6.61</v>
      </c>
      <c r="F35" s="5">
        <v>0</v>
      </c>
      <c r="G35" s="5">
        <v>0</v>
      </c>
      <c r="H35" s="5">
        <v>76.040000000000006</v>
      </c>
      <c r="I35" s="5">
        <v>23.45</v>
      </c>
      <c r="J35" s="5">
        <v>0.52</v>
      </c>
      <c r="K35" s="5">
        <v>0</v>
      </c>
      <c r="L35" s="5">
        <v>0</v>
      </c>
      <c r="M35" s="5">
        <v>76.55</v>
      </c>
      <c r="N35" s="5">
        <v>0.13</v>
      </c>
      <c r="O35" s="5">
        <v>23.06</v>
      </c>
      <c r="P35" s="5">
        <v>0.26</v>
      </c>
      <c r="Q35" s="5">
        <v>0</v>
      </c>
    </row>
    <row r="36" spans="2:17" x14ac:dyDescent="0.3">
      <c r="B36" s="6">
        <v>53</v>
      </c>
      <c r="C36" s="5">
        <v>88.21</v>
      </c>
      <c r="D36" s="5">
        <v>6.35</v>
      </c>
      <c r="E36" s="5">
        <v>5.44</v>
      </c>
      <c r="F36" s="5">
        <v>0</v>
      </c>
      <c r="G36" s="5">
        <v>0</v>
      </c>
      <c r="H36" s="5">
        <v>67.62</v>
      </c>
      <c r="I36" s="5">
        <v>31.99</v>
      </c>
      <c r="J36" s="5">
        <v>0.13</v>
      </c>
      <c r="K36" s="5">
        <v>0</v>
      </c>
      <c r="L36" s="5">
        <v>0.26</v>
      </c>
      <c r="M36" s="5">
        <v>75.78</v>
      </c>
      <c r="N36" s="5">
        <v>0.78</v>
      </c>
      <c r="O36" s="5">
        <v>23.45</v>
      </c>
      <c r="P36" s="5">
        <v>0</v>
      </c>
      <c r="Q36" s="5">
        <v>0</v>
      </c>
    </row>
    <row r="37" spans="2:17" x14ac:dyDescent="0.3">
      <c r="B37" s="6">
        <v>54</v>
      </c>
      <c r="C37" s="5">
        <v>85.66</v>
      </c>
      <c r="D37" s="5">
        <v>4.78</v>
      </c>
      <c r="E37" s="5">
        <v>9.56</v>
      </c>
      <c r="F37" s="5">
        <v>0</v>
      </c>
      <c r="G37" s="5">
        <v>0</v>
      </c>
      <c r="H37" s="5">
        <v>70.03</v>
      </c>
      <c r="I37" s="5">
        <v>29.46</v>
      </c>
      <c r="J37" s="5">
        <v>0.39</v>
      </c>
      <c r="K37" s="5">
        <v>0</v>
      </c>
      <c r="L37" s="5">
        <v>0.13</v>
      </c>
      <c r="M37" s="5">
        <v>64.209999999999994</v>
      </c>
      <c r="N37" s="5">
        <v>0.13</v>
      </c>
      <c r="O37" s="5">
        <v>35.4</v>
      </c>
      <c r="P37" s="5">
        <v>0.26</v>
      </c>
      <c r="Q37" s="5">
        <v>0</v>
      </c>
    </row>
    <row r="38" spans="2:17" x14ac:dyDescent="0.3">
      <c r="B38" s="6">
        <v>55</v>
      </c>
      <c r="C38" s="5">
        <v>89.37</v>
      </c>
      <c r="D38" s="5">
        <v>4.25</v>
      </c>
      <c r="E38" s="5">
        <v>6.38</v>
      </c>
      <c r="F38" s="5">
        <v>0</v>
      </c>
      <c r="G38" s="5">
        <v>0</v>
      </c>
      <c r="H38" s="5">
        <v>78.87</v>
      </c>
      <c r="I38" s="5">
        <v>20.78</v>
      </c>
      <c r="J38" s="5">
        <v>0.35</v>
      </c>
      <c r="K38" s="5">
        <v>0</v>
      </c>
      <c r="L38" s="5">
        <v>0</v>
      </c>
      <c r="M38" s="5">
        <v>75.44</v>
      </c>
      <c r="N38" s="5">
        <v>0.47</v>
      </c>
      <c r="O38" s="5">
        <v>24.09</v>
      </c>
      <c r="P38" s="5">
        <v>0</v>
      </c>
      <c r="Q38" s="5">
        <v>0</v>
      </c>
    </row>
    <row r="39" spans="2:17" x14ac:dyDescent="0.3">
      <c r="B39" s="6">
        <v>56</v>
      </c>
      <c r="C39" s="5">
        <v>83.31</v>
      </c>
      <c r="D39" s="5">
        <v>6.86</v>
      </c>
      <c r="E39" s="5">
        <v>9.59</v>
      </c>
      <c r="F39" s="5">
        <v>0</v>
      </c>
      <c r="G39" s="5">
        <v>0.24</v>
      </c>
      <c r="H39" s="5">
        <v>71.48</v>
      </c>
      <c r="I39" s="5">
        <v>26.86</v>
      </c>
      <c r="J39" s="5">
        <v>0.95</v>
      </c>
      <c r="K39" s="5">
        <v>0</v>
      </c>
      <c r="L39" s="5">
        <v>0.71</v>
      </c>
      <c r="M39" s="5">
        <v>57.63</v>
      </c>
      <c r="N39" s="5">
        <v>1.07</v>
      </c>
      <c r="O39" s="5">
        <v>40.24</v>
      </c>
      <c r="P39" s="5">
        <v>0.83</v>
      </c>
      <c r="Q39" s="5">
        <v>0.24</v>
      </c>
    </row>
    <row r="40" spans="2:17" x14ac:dyDescent="0.3">
      <c r="B40" s="6">
        <v>58</v>
      </c>
      <c r="C40" s="5">
        <v>90.71</v>
      </c>
      <c r="D40" s="5">
        <v>6.38</v>
      </c>
      <c r="E40" s="5">
        <v>2.91</v>
      </c>
      <c r="F40" s="5">
        <v>0</v>
      </c>
      <c r="G40" s="5">
        <v>0</v>
      </c>
      <c r="H40" s="5">
        <v>76.56</v>
      </c>
      <c r="I40" s="5">
        <v>23.44</v>
      </c>
      <c r="J40" s="5">
        <v>0</v>
      </c>
      <c r="K40" s="5">
        <v>0</v>
      </c>
      <c r="L40" s="5">
        <v>0</v>
      </c>
      <c r="M40" s="5">
        <v>72.680000000000007</v>
      </c>
      <c r="N40" s="5">
        <v>1.25</v>
      </c>
      <c r="O40" s="5">
        <v>26.07</v>
      </c>
      <c r="P40" s="5">
        <v>0</v>
      </c>
      <c r="Q40" s="5">
        <v>0</v>
      </c>
    </row>
    <row r="41" spans="2:17" x14ac:dyDescent="0.3">
      <c r="B41" s="6">
        <v>60</v>
      </c>
      <c r="C41" s="5">
        <v>86.61</v>
      </c>
      <c r="D41" s="5">
        <v>5.33</v>
      </c>
      <c r="E41" s="5">
        <v>8.06</v>
      </c>
      <c r="F41" s="5">
        <v>0</v>
      </c>
      <c r="G41" s="5">
        <v>0</v>
      </c>
      <c r="H41" s="5">
        <v>74.760000000000005</v>
      </c>
      <c r="I41" s="5">
        <v>24.53</v>
      </c>
      <c r="J41" s="5">
        <v>0.71</v>
      </c>
      <c r="K41" s="5">
        <v>0</v>
      </c>
      <c r="L41" s="5">
        <v>0</v>
      </c>
      <c r="M41" s="5">
        <v>69.55</v>
      </c>
      <c r="N41" s="5">
        <v>0.47</v>
      </c>
      <c r="O41" s="5">
        <v>29.98</v>
      </c>
      <c r="P41" s="5">
        <v>0</v>
      </c>
      <c r="Q41" s="5">
        <v>0</v>
      </c>
    </row>
    <row r="42" spans="2:17" x14ac:dyDescent="0.3">
      <c r="B42" s="6">
        <v>61</v>
      </c>
      <c r="C42" s="5">
        <v>91.48</v>
      </c>
      <c r="D42" s="5">
        <v>4.6500000000000004</v>
      </c>
      <c r="E42" s="5">
        <v>3.87</v>
      </c>
      <c r="F42" s="5">
        <v>0</v>
      </c>
      <c r="G42" s="5">
        <v>0</v>
      </c>
      <c r="H42" s="5">
        <v>75.349999999999994</v>
      </c>
      <c r="I42" s="5">
        <v>24.26</v>
      </c>
      <c r="J42" s="5">
        <v>0.39</v>
      </c>
      <c r="K42" s="5">
        <v>0</v>
      </c>
      <c r="L42" s="5">
        <v>0</v>
      </c>
      <c r="M42" s="5">
        <v>84.39</v>
      </c>
      <c r="N42" s="5">
        <v>0.52</v>
      </c>
      <c r="O42" s="5">
        <v>15.1</v>
      </c>
      <c r="P42" s="5">
        <v>0</v>
      </c>
      <c r="Q42" s="5">
        <v>0</v>
      </c>
    </row>
    <row r="43" spans="2:17" x14ac:dyDescent="0.3">
      <c r="B43" s="6">
        <v>62</v>
      </c>
      <c r="C43" s="5">
        <v>87.16</v>
      </c>
      <c r="D43" s="5">
        <v>6.48</v>
      </c>
      <c r="E43" s="5">
        <v>6.36</v>
      </c>
      <c r="F43" s="5">
        <v>0</v>
      </c>
      <c r="G43" s="5">
        <v>0</v>
      </c>
      <c r="H43" s="5">
        <v>68.319999999999993</v>
      </c>
      <c r="I43" s="5">
        <v>31.1</v>
      </c>
      <c r="J43" s="5">
        <v>0.47</v>
      </c>
      <c r="K43" s="5">
        <v>0</v>
      </c>
      <c r="L43" s="5">
        <v>0.12</v>
      </c>
      <c r="M43" s="5">
        <v>74.319999999999993</v>
      </c>
      <c r="N43" s="5">
        <v>0.47</v>
      </c>
      <c r="O43" s="5">
        <v>24.85</v>
      </c>
      <c r="P43" s="5">
        <v>0.35</v>
      </c>
      <c r="Q43" s="5">
        <v>0</v>
      </c>
    </row>
    <row r="44" spans="2:17" x14ac:dyDescent="0.3">
      <c r="B44" s="6">
        <v>63</v>
      </c>
      <c r="C44" s="5">
        <v>91.87</v>
      </c>
      <c r="D44" s="5">
        <v>4.26</v>
      </c>
      <c r="E44" s="5">
        <v>3.87</v>
      </c>
      <c r="F44" s="5">
        <v>0</v>
      </c>
      <c r="G44" s="5">
        <v>0</v>
      </c>
      <c r="H44" s="5">
        <v>80.39</v>
      </c>
      <c r="I44" s="5">
        <v>19.48</v>
      </c>
      <c r="J44" s="5">
        <v>0.13</v>
      </c>
      <c r="K44" s="5">
        <v>0</v>
      </c>
      <c r="L44" s="5">
        <v>0</v>
      </c>
      <c r="M44" s="5">
        <v>74.45</v>
      </c>
      <c r="N44" s="5">
        <v>0</v>
      </c>
      <c r="O44" s="5">
        <v>25.42</v>
      </c>
      <c r="P44" s="5">
        <v>0.13</v>
      </c>
      <c r="Q44" s="5">
        <v>0</v>
      </c>
    </row>
    <row r="45" spans="2:17" x14ac:dyDescent="0.3">
      <c r="B45" s="6">
        <v>64</v>
      </c>
      <c r="C45" s="5">
        <v>88.32</v>
      </c>
      <c r="D45" s="5">
        <v>3.59</v>
      </c>
      <c r="E45" s="5">
        <v>8.09</v>
      </c>
      <c r="F45" s="5">
        <v>0</v>
      </c>
      <c r="G45" s="5">
        <v>0</v>
      </c>
      <c r="H45" s="5">
        <v>76.510000000000005</v>
      </c>
      <c r="I45" s="5">
        <v>22.21</v>
      </c>
      <c r="J45" s="5">
        <v>1.1599999999999999</v>
      </c>
      <c r="K45" s="5">
        <v>0</v>
      </c>
      <c r="L45" s="5">
        <v>0.13</v>
      </c>
      <c r="M45" s="5">
        <v>72.53</v>
      </c>
      <c r="N45" s="5">
        <v>0.13</v>
      </c>
      <c r="O45" s="5">
        <v>26.96</v>
      </c>
      <c r="P45" s="5">
        <v>0.39</v>
      </c>
      <c r="Q45" s="5">
        <v>0</v>
      </c>
    </row>
    <row r="46" spans="2:17" x14ac:dyDescent="0.3">
      <c r="B46" s="6">
        <v>65</v>
      </c>
      <c r="C46" s="5">
        <v>88.65</v>
      </c>
      <c r="D46" s="5">
        <v>5.79</v>
      </c>
      <c r="E46" s="5">
        <v>5.56</v>
      </c>
      <c r="F46" s="5">
        <v>0</v>
      </c>
      <c r="G46" s="5">
        <v>0</v>
      </c>
      <c r="H46" s="5">
        <v>72.58</v>
      </c>
      <c r="I46" s="5">
        <v>26.71</v>
      </c>
      <c r="J46" s="5">
        <v>0.71</v>
      </c>
      <c r="K46" s="5">
        <v>0</v>
      </c>
      <c r="L46" s="5">
        <v>0</v>
      </c>
      <c r="M46" s="5">
        <v>76.36</v>
      </c>
      <c r="N46" s="5">
        <v>0.24</v>
      </c>
      <c r="O46" s="5">
        <v>23.05</v>
      </c>
      <c r="P46" s="5">
        <v>0.35</v>
      </c>
      <c r="Q46" s="5">
        <v>0</v>
      </c>
    </row>
    <row r="47" spans="2:17" x14ac:dyDescent="0.3">
      <c r="B47" s="6">
        <v>66</v>
      </c>
      <c r="C47" s="5">
        <v>86.19</v>
      </c>
      <c r="D47" s="5">
        <v>6.71</v>
      </c>
      <c r="E47" s="5">
        <v>7.1</v>
      </c>
      <c r="F47" s="5">
        <v>0</v>
      </c>
      <c r="G47" s="5">
        <v>0</v>
      </c>
      <c r="H47" s="5">
        <v>70.709999999999994</v>
      </c>
      <c r="I47" s="5">
        <v>29.16</v>
      </c>
      <c r="J47" s="5">
        <v>0.13</v>
      </c>
      <c r="K47" s="5">
        <v>0</v>
      </c>
      <c r="L47" s="5">
        <v>0</v>
      </c>
      <c r="M47" s="5">
        <v>68.900000000000006</v>
      </c>
      <c r="N47" s="5">
        <v>0.39</v>
      </c>
      <c r="O47" s="5">
        <v>30.71</v>
      </c>
      <c r="P47" s="5">
        <v>0</v>
      </c>
      <c r="Q47" s="5">
        <v>0</v>
      </c>
    </row>
    <row r="48" spans="2:17" x14ac:dyDescent="0.3">
      <c r="B48" s="6">
        <v>67</v>
      </c>
      <c r="C48" s="5">
        <v>80.05</v>
      </c>
      <c r="D48" s="5">
        <v>11.01</v>
      </c>
      <c r="E48" s="5">
        <v>8.81</v>
      </c>
      <c r="F48" s="5">
        <v>0.13</v>
      </c>
      <c r="G48" s="5">
        <v>0</v>
      </c>
      <c r="H48" s="5">
        <v>57.77</v>
      </c>
      <c r="I48" s="5">
        <v>41.32</v>
      </c>
      <c r="J48" s="5">
        <v>0.52</v>
      </c>
      <c r="K48" s="5">
        <v>0</v>
      </c>
      <c r="L48" s="5">
        <v>0.39</v>
      </c>
      <c r="M48" s="5">
        <v>63.99</v>
      </c>
      <c r="N48" s="5">
        <v>1.42</v>
      </c>
      <c r="O48" s="5">
        <v>34.33</v>
      </c>
      <c r="P48" s="5">
        <v>0.26</v>
      </c>
      <c r="Q48" s="5">
        <v>0</v>
      </c>
    </row>
    <row r="49" spans="2:17" x14ac:dyDescent="0.3">
      <c r="B49" s="6">
        <v>68</v>
      </c>
      <c r="C49" s="5">
        <v>87.64</v>
      </c>
      <c r="D49" s="5">
        <v>8.85</v>
      </c>
      <c r="E49" s="5">
        <v>3.52</v>
      </c>
      <c r="F49" s="5">
        <v>0</v>
      </c>
      <c r="G49" s="5">
        <v>0</v>
      </c>
      <c r="H49" s="5">
        <v>67.27</v>
      </c>
      <c r="I49" s="5">
        <v>32.24</v>
      </c>
      <c r="J49" s="5">
        <v>0</v>
      </c>
      <c r="K49" s="5">
        <v>0</v>
      </c>
      <c r="L49" s="5">
        <v>0.48</v>
      </c>
      <c r="M49" s="5">
        <v>80.12</v>
      </c>
      <c r="N49" s="5">
        <v>0.61</v>
      </c>
      <c r="O49" s="5">
        <v>19.27</v>
      </c>
      <c r="P49" s="5">
        <v>0</v>
      </c>
      <c r="Q49" s="5">
        <v>0</v>
      </c>
    </row>
    <row r="50" spans="2:17" x14ac:dyDescent="0.3">
      <c r="B50" s="6">
        <v>69</v>
      </c>
      <c r="C50" s="5">
        <v>83.48</v>
      </c>
      <c r="D50" s="5">
        <v>9.2899999999999991</v>
      </c>
      <c r="E50" s="5">
        <v>7.23</v>
      </c>
      <c r="F50" s="5">
        <v>0</v>
      </c>
      <c r="G50" s="5">
        <v>0</v>
      </c>
      <c r="H50" s="5">
        <v>69.680000000000007</v>
      </c>
      <c r="I50" s="5">
        <v>29.03</v>
      </c>
      <c r="J50" s="5">
        <v>1.1599999999999999</v>
      </c>
      <c r="K50" s="5">
        <v>0</v>
      </c>
      <c r="L50" s="5">
        <v>0.13</v>
      </c>
      <c r="M50" s="5">
        <v>54.97</v>
      </c>
      <c r="N50" s="5">
        <v>0.77</v>
      </c>
      <c r="O50" s="5">
        <v>44</v>
      </c>
      <c r="P50" s="5">
        <v>0.26</v>
      </c>
      <c r="Q50" s="5">
        <v>0</v>
      </c>
    </row>
    <row r="51" spans="2:17" x14ac:dyDescent="0.3">
      <c r="B51" s="6">
        <v>71</v>
      </c>
      <c r="C51" s="5">
        <v>82.71</v>
      </c>
      <c r="D51" s="5">
        <v>9.2899999999999991</v>
      </c>
      <c r="E51" s="5">
        <v>8</v>
      </c>
      <c r="F51" s="5">
        <v>0</v>
      </c>
      <c r="G51" s="5">
        <v>0</v>
      </c>
      <c r="H51" s="5">
        <v>54.58</v>
      </c>
      <c r="I51" s="5">
        <v>44.39</v>
      </c>
      <c r="J51" s="5">
        <v>0.9</v>
      </c>
      <c r="K51" s="5">
        <v>0</v>
      </c>
      <c r="L51" s="5">
        <v>0.13</v>
      </c>
      <c r="M51" s="5">
        <v>70.06</v>
      </c>
      <c r="N51" s="5">
        <v>0.13</v>
      </c>
      <c r="O51" s="5">
        <v>29.55</v>
      </c>
      <c r="P51" s="5">
        <v>0.26</v>
      </c>
      <c r="Q51" s="5">
        <v>0</v>
      </c>
    </row>
    <row r="52" spans="2:17" x14ac:dyDescent="0.3">
      <c r="B52" s="6">
        <v>72</v>
      </c>
      <c r="C52" s="5">
        <v>79.95</v>
      </c>
      <c r="D52" s="5">
        <v>11.13</v>
      </c>
      <c r="E52" s="5">
        <v>8.93</v>
      </c>
      <c r="F52" s="5">
        <v>0</v>
      </c>
      <c r="G52" s="5">
        <v>0</v>
      </c>
      <c r="H52" s="5">
        <v>49.55</v>
      </c>
      <c r="I52" s="5">
        <v>49.94</v>
      </c>
      <c r="J52" s="5">
        <v>0.39</v>
      </c>
      <c r="K52" s="5">
        <v>0</v>
      </c>
      <c r="L52" s="5">
        <v>0.13</v>
      </c>
      <c r="M52" s="5">
        <v>63.78</v>
      </c>
      <c r="N52" s="5">
        <v>0.65</v>
      </c>
      <c r="O52" s="5">
        <v>35.450000000000003</v>
      </c>
      <c r="P52" s="5">
        <v>0.13</v>
      </c>
      <c r="Q52" s="5">
        <v>0</v>
      </c>
    </row>
    <row r="53" spans="2:17" x14ac:dyDescent="0.3">
      <c r="B53" s="6">
        <v>73</v>
      </c>
      <c r="C53" s="5">
        <v>78.5</v>
      </c>
      <c r="D53" s="5">
        <v>12.18</v>
      </c>
      <c r="E53" s="5">
        <v>9.33</v>
      </c>
      <c r="F53" s="5">
        <v>0</v>
      </c>
      <c r="G53" s="5">
        <v>0</v>
      </c>
      <c r="H53" s="5">
        <v>56.61</v>
      </c>
      <c r="I53" s="5">
        <v>42.36</v>
      </c>
      <c r="J53" s="5">
        <v>0.91</v>
      </c>
      <c r="K53" s="5">
        <v>0</v>
      </c>
      <c r="L53" s="5">
        <v>0.13</v>
      </c>
      <c r="M53" s="5">
        <v>65.28</v>
      </c>
      <c r="N53" s="5">
        <v>1.3</v>
      </c>
      <c r="O53" s="5">
        <v>32.9</v>
      </c>
      <c r="P53" s="5">
        <v>0.52</v>
      </c>
      <c r="Q53" s="5">
        <v>0</v>
      </c>
    </row>
    <row r="54" spans="2:17" x14ac:dyDescent="0.3">
      <c r="B54" s="6">
        <v>74</v>
      </c>
      <c r="C54" s="5">
        <v>87.08</v>
      </c>
      <c r="D54" s="5">
        <v>5.87</v>
      </c>
      <c r="E54" s="5">
        <v>7.05</v>
      </c>
      <c r="F54" s="5">
        <v>0</v>
      </c>
      <c r="G54" s="5">
        <v>0</v>
      </c>
      <c r="H54" s="5">
        <v>77.150000000000006</v>
      </c>
      <c r="I54" s="5">
        <v>22.85</v>
      </c>
      <c r="J54" s="5">
        <v>0</v>
      </c>
      <c r="K54" s="5">
        <v>0</v>
      </c>
      <c r="L54" s="5">
        <v>0</v>
      </c>
      <c r="M54" s="5">
        <v>56.66</v>
      </c>
      <c r="N54" s="5">
        <v>0.26</v>
      </c>
      <c r="O54" s="5">
        <v>43.08</v>
      </c>
      <c r="P54" s="5">
        <v>0</v>
      </c>
      <c r="Q54" s="5">
        <v>0</v>
      </c>
    </row>
    <row r="55" spans="2:17" x14ac:dyDescent="0.3">
      <c r="B55" s="6">
        <v>75</v>
      </c>
      <c r="C55" s="5">
        <v>82.04</v>
      </c>
      <c r="D55" s="5">
        <v>8.0500000000000007</v>
      </c>
      <c r="E55" s="5">
        <v>9.91</v>
      </c>
      <c r="F55" s="5">
        <v>0</v>
      </c>
      <c r="G55" s="5">
        <v>0</v>
      </c>
      <c r="H55" s="5">
        <v>69.66</v>
      </c>
      <c r="I55" s="5">
        <v>29.41</v>
      </c>
      <c r="J55" s="5">
        <v>0.62</v>
      </c>
      <c r="K55" s="5">
        <v>0</v>
      </c>
      <c r="L55" s="5">
        <v>0.31</v>
      </c>
      <c r="M55" s="5">
        <v>62.54</v>
      </c>
      <c r="N55" s="5">
        <v>0.31</v>
      </c>
      <c r="O55" s="5">
        <v>36.840000000000003</v>
      </c>
      <c r="P55" s="5">
        <v>0.31</v>
      </c>
      <c r="Q55" s="5">
        <v>0</v>
      </c>
    </row>
    <row r="58" spans="2:17" x14ac:dyDescent="0.3">
      <c r="B58" s="1" t="s">
        <v>15</v>
      </c>
      <c r="C58" s="2">
        <f>MIN(C4:C55)</f>
        <v>78.5</v>
      </c>
      <c r="D58" s="2">
        <f t="shared" ref="D58:Q58" si="0">MIN(D4:D55)</f>
        <v>2.98</v>
      </c>
      <c r="E58" s="2">
        <f t="shared" si="0"/>
        <v>1.81</v>
      </c>
      <c r="F58" s="2">
        <f t="shared" si="0"/>
        <v>0</v>
      </c>
      <c r="G58" s="2">
        <f t="shared" si="0"/>
        <v>0</v>
      </c>
      <c r="H58" s="3">
        <f t="shared" si="0"/>
        <v>49.55</v>
      </c>
      <c r="I58" s="3">
        <f t="shared" si="0"/>
        <v>15.72</v>
      </c>
      <c r="J58" s="3">
        <f t="shared" si="0"/>
        <v>0</v>
      </c>
      <c r="K58" s="3">
        <f t="shared" si="0"/>
        <v>0</v>
      </c>
      <c r="L58" s="3">
        <f t="shared" si="0"/>
        <v>0</v>
      </c>
      <c r="M58" s="2">
        <f t="shared" si="0"/>
        <v>54.97</v>
      </c>
      <c r="N58" s="2">
        <f t="shared" si="0"/>
        <v>0</v>
      </c>
      <c r="O58" s="2">
        <f t="shared" si="0"/>
        <v>11.01</v>
      </c>
      <c r="P58" s="2">
        <f t="shared" si="0"/>
        <v>0</v>
      </c>
      <c r="Q58" s="2">
        <f t="shared" si="0"/>
        <v>0</v>
      </c>
    </row>
    <row r="59" spans="2:17" x14ac:dyDescent="0.3">
      <c r="B59" s="1" t="s">
        <v>16</v>
      </c>
      <c r="C59" s="2">
        <f>MAX(C4:C55)</f>
        <v>93.81</v>
      </c>
      <c r="D59" s="2">
        <f t="shared" ref="D59:Q59" si="1">MAX(D4:D55)</f>
        <v>12.18</v>
      </c>
      <c r="E59" s="2">
        <f t="shared" si="1"/>
        <v>11.11</v>
      </c>
      <c r="F59" s="2">
        <f t="shared" si="1"/>
        <v>0.13</v>
      </c>
      <c r="G59" s="2">
        <f t="shared" si="1"/>
        <v>0.52</v>
      </c>
      <c r="H59" s="3">
        <f t="shared" si="1"/>
        <v>83.79</v>
      </c>
      <c r="I59" s="3">
        <f t="shared" si="1"/>
        <v>49.94</v>
      </c>
      <c r="J59" s="3">
        <f t="shared" si="1"/>
        <v>1.42</v>
      </c>
      <c r="K59" s="3">
        <f t="shared" si="1"/>
        <v>0</v>
      </c>
      <c r="L59" s="3">
        <f t="shared" si="1"/>
        <v>0.9</v>
      </c>
      <c r="M59" s="2">
        <f t="shared" si="1"/>
        <v>88.4</v>
      </c>
      <c r="N59" s="2">
        <f t="shared" si="1"/>
        <v>1.42</v>
      </c>
      <c r="O59" s="2">
        <f t="shared" si="1"/>
        <v>44.06</v>
      </c>
      <c r="P59" s="2">
        <f t="shared" si="1"/>
        <v>0.83</v>
      </c>
      <c r="Q59" s="2">
        <f t="shared" si="1"/>
        <v>0.24</v>
      </c>
    </row>
    <row r="60" spans="2:17" x14ac:dyDescent="0.3">
      <c r="B60" s="1" t="s">
        <v>17</v>
      </c>
      <c r="C60" s="2">
        <f>AVERAGE(C4:C55)</f>
        <v>88.053461538461534</v>
      </c>
      <c r="D60" s="2">
        <f t="shared" ref="D60:Q60" si="2">AVERAGE(D4:D55)</f>
        <v>6.0446153846153852</v>
      </c>
      <c r="E60" s="2">
        <f t="shared" si="2"/>
        <v>5.8742307692307714</v>
      </c>
      <c r="F60" s="2">
        <f t="shared" si="2"/>
        <v>4.807692307692308E-3</v>
      </c>
      <c r="G60" s="2">
        <f t="shared" si="2"/>
        <v>2.4230769230769229E-2</v>
      </c>
      <c r="H60" s="3">
        <f t="shared" si="2"/>
        <v>73.863269230769234</v>
      </c>
      <c r="I60" s="3">
        <f t="shared" si="2"/>
        <v>25.509038461538466</v>
      </c>
      <c r="J60" s="3">
        <f t="shared" si="2"/>
        <v>0.5084615384615383</v>
      </c>
      <c r="K60" s="3">
        <f t="shared" si="2"/>
        <v>0</v>
      </c>
      <c r="L60" s="3">
        <f t="shared" si="2"/>
        <v>0.12115384615384611</v>
      </c>
      <c r="M60" s="2">
        <f t="shared" si="2"/>
        <v>74.323846153846162</v>
      </c>
      <c r="N60" s="2">
        <f t="shared" si="2"/>
        <v>0.44192307692307681</v>
      </c>
      <c r="O60" s="2">
        <f t="shared" si="2"/>
        <v>25.0975</v>
      </c>
      <c r="P60" s="2">
        <f t="shared" si="2"/>
        <v>0.12788461538461535</v>
      </c>
      <c r="Q60" s="2">
        <f t="shared" si="2"/>
        <v>9.6153846153846159E-3</v>
      </c>
    </row>
    <row r="61" spans="2:17" x14ac:dyDescent="0.3">
      <c r="B61" s="1" t="s">
        <v>18</v>
      </c>
      <c r="C61" s="2">
        <f>MEDIAN(C4:C55)</f>
        <v>88.56</v>
      </c>
      <c r="D61" s="2">
        <f t="shared" ref="D61:Q61" si="3">MEDIAN(D4:D55)</f>
        <v>5.32</v>
      </c>
      <c r="E61" s="2">
        <f t="shared" si="3"/>
        <v>5.8550000000000004</v>
      </c>
      <c r="F61" s="2">
        <f t="shared" si="3"/>
        <v>0</v>
      </c>
      <c r="G61" s="2">
        <f t="shared" si="3"/>
        <v>0</v>
      </c>
      <c r="H61" s="3">
        <f t="shared" si="3"/>
        <v>75.53</v>
      </c>
      <c r="I61" s="3">
        <f t="shared" si="3"/>
        <v>24.015000000000001</v>
      </c>
      <c r="J61" s="3">
        <f t="shared" si="3"/>
        <v>0.495</v>
      </c>
      <c r="K61" s="3">
        <f t="shared" si="3"/>
        <v>0</v>
      </c>
      <c r="L61" s="3">
        <f t="shared" si="3"/>
        <v>0</v>
      </c>
      <c r="M61" s="2">
        <f t="shared" si="3"/>
        <v>75.61</v>
      </c>
      <c r="N61" s="2">
        <f t="shared" si="3"/>
        <v>0.39</v>
      </c>
      <c r="O61" s="2">
        <f t="shared" si="3"/>
        <v>23.77</v>
      </c>
      <c r="P61" s="2">
        <f t="shared" si="3"/>
        <v>0</v>
      </c>
      <c r="Q61" s="2">
        <f t="shared" si="3"/>
        <v>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results_pred_prec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created xsi:type="dcterms:W3CDTF">2023-04-18T01:24:20Z</dcterms:created>
  <dcterms:modified xsi:type="dcterms:W3CDTF">2023-04-20T14:11:29Z</dcterms:modified>
</cp:coreProperties>
</file>