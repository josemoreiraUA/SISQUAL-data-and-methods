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pred_sizing_directly\results\"/>
    </mc:Choice>
  </mc:AlternateContent>
  <xr:revisionPtr revIDLastSave="0" documentId="13_ncr:1_{ECAC78E5-72BD-4586-8C14-867C122704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cur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C61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C60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C59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C58" i="1"/>
</calcChain>
</file>

<file path=xl/sharedStrings.xml><?xml version="1.0" encoding="utf-8"?>
<sst xmlns="http://schemas.openxmlformats.org/spreadsheetml/2006/main" count="26" uniqueCount="23">
  <si>
    <t>ROUND =</t>
  </si>
  <si>
    <t>ROUND +1</t>
  </si>
  <si>
    <t>ROUND -1</t>
  </si>
  <si>
    <t>ROUND &gt; 1</t>
  </si>
  <si>
    <t>ROUND &lt; 1</t>
  </si>
  <si>
    <t>FLOOR =</t>
  </si>
  <si>
    <t>FLOOR +1</t>
  </si>
  <si>
    <t>FLOOR -1</t>
  </si>
  <si>
    <t>FLOOR &gt; 1</t>
  </si>
  <si>
    <t>FLOOR &lt; 1</t>
  </si>
  <si>
    <t>CEIL =</t>
  </si>
  <si>
    <t>CEIL +1</t>
  </si>
  <si>
    <t>CEIL -1</t>
  </si>
  <si>
    <t>CEIL &gt; 1</t>
  </si>
  <si>
    <t>CEIL &lt; 1</t>
  </si>
  <si>
    <t>Min</t>
  </si>
  <si>
    <t>Max</t>
  </si>
  <si>
    <t>Mean</t>
  </si>
  <si>
    <t>ROUND</t>
  </si>
  <si>
    <t>FLOOR</t>
  </si>
  <si>
    <t>CEIL</t>
  </si>
  <si>
    <t>Median</t>
  </si>
  <si>
    <t>Store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</si>
</sst>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164" fontId="0" fillId="0" borderId="10" xfId="0" applyNumberFormat="1" applyBorder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16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Team Size Forecast = Accuracy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accuracy!$C$3</c:f>
              <c:strCache>
                <c:ptCount val="1"/>
                <c:pt idx="0">
                  <c:v>ROUND =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accuracy!$B$4:$B$55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accuracy!$C$4:$C$55</c:f>
              <c:numCache>
                <c:formatCode>General</c:formatCode>
                <c:ptCount val="52"/>
                <c:pt idx="0">
                  <c:v>85.14</c:v>
                </c:pt>
                <c:pt idx="1">
                  <c:v>84.31</c:v>
                </c:pt>
                <c:pt idx="2">
                  <c:v>81.81</c:v>
                </c:pt>
                <c:pt idx="3">
                  <c:v>87.78</c:v>
                </c:pt>
                <c:pt idx="4">
                  <c:v>87.64</c:v>
                </c:pt>
                <c:pt idx="5">
                  <c:v>81.25</c:v>
                </c:pt>
                <c:pt idx="6">
                  <c:v>89.72</c:v>
                </c:pt>
                <c:pt idx="7">
                  <c:v>78.75</c:v>
                </c:pt>
                <c:pt idx="8">
                  <c:v>80.83</c:v>
                </c:pt>
                <c:pt idx="9">
                  <c:v>82.08</c:v>
                </c:pt>
                <c:pt idx="10">
                  <c:v>86.53</c:v>
                </c:pt>
                <c:pt idx="11">
                  <c:v>84.31</c:v>
                </c:pt>
                <c:pt idx="12">
                  <c:v>84.17</c:v>
                </c:pt>
                <c:pt idx="13">
                  <c:v>77.36</c:v>
                </c:pt>
                <c:pt idx="14">
                  <c:v>87.64</c:v>
                </c:pt>
                <c:pt idx="15">
                  <c:v>81.39</c:v>
                </c:pt>
                <c:pt idx="16">
                  <c:v>84.58</c:v>
                </c:pt>
                <c:pt idx="17">
                  <c:v>78.19</c:v>
                </c:pt>
                <c:pt idx="18">
                  <c:v>78.75</c:v>
                </c:pt>
                <c:pt idx="19">
                  <c:v>82.22</c:v>
                </c:pt>
                <c:pt idx="20">
                  <c:v>67.92</c:v>
                </c:pt>
                <c:pt idx="21">
                  <c:v>86.25</c:v>
                </c:pt>
                <c:pt idx="22">
                  <c:v>81.39</c:v>
                </c:pt>
                <c:pt idx="23">
                  <c:v>82.64</c:v>
                </c:pt>
                <c:pt idx="24">
                  <c:v>80.28</c:v>
                </c:pt>
                <c:pt idx="25">
                  <c:v>80.14</c:v>
                </c:pt>
                <c:pt idx="26">
                  <c:v>82.5</c:v>
                </c:pt>
                <c:pt idx="27">
                  <c:v>83.19</c:v>
                </c:pt>
                <c:pt idx="28">
                  <c:v>77.22</c:v>
                </c:pt>
                <c:pt idx="29">
                  <c:v>87.22</c:v>
                </c:pt>
                <c:pt idx="30">
                  <c:v>75.83</c:v>
                </c:pt>
                <c:pt idx="31">
                  <c:v>75.14</c:v>
                </c:pt>
                <c:pt idx="32">
                  <c:v>80.97</c:v>
                </c:pt>
                <c:pt idx="33">
                  <c:v>78.61</c:v>
                </c:pt>
                <c:pt idx="34">
                  <c:v>85.69</c:v>
                </c:pt>
                <c:pt idx="35">
                  <c:v>88.19</c:v>
                </c:pt>
                <c:pt idx="36">
                  <c:v>78.19</c:v>
                </c:pt>
                <c:pt idx="37">
                  <c:v>85.42</c:v>
                </c:pt>
                <c:pt idx="38">
                  <c:v>81.94</c:v>
                </c:pt>
                <c:pt idx="39">
                  <c:v>80.28</c:v>
                </c:pt>
                <c:pt idx="40">
                  <c:v>81.25</c:v>
                </c:pt>
                <c:pt idx="41">
                  <c:v>82.5</c:v>
                </c:pt>
                <c:pt idx="42">
                  <c:v>75.42</c:v>
                </c:pt>
                <c:pt idx="43">
                  <c:v>80.83</c:v>
                </c:pt>
                <c:pt idx="44">
                  <c:v>82.78</c:v>
                </c:pt>
                <c:pt idx="45">
                  <c:v>64.86</c:v>
                </c:pt>
                <c:pt idx="46">
                  <c:v>86.67</c:v>
                </c:pt>
                <c:pt idx="47">
                  <c:v>79.58</c:v>
                </c:pt>
                <c:pt idx="48">
                  <c:v>81.53</c:v>
                </c:pt>
                <c:pt idx="49">
                  <c:v>83.47</c:v>
                </c:pt>
                <c:pt idx="50">
                  <c:v>87.08</c:v>
                </c:pt>
                <c:pt idx="51">
                  <c:v>80.14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F-4545-AA52-B60F0023B421}"/>
            </c:ext>
          </c:extLst>
        </c:ser>
        <c:ser>
          <c:idx val="1"/>
          <c:order val="1"/>
          <c:tx>
            <c:strRef>
              <c:f>accuracy!$H$3</c:f>
              <c:strCache>
                <c:ptCount val="1"/>
                <c:pt idx="0">
                  <c:v>FLOOR =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accuracy!$B$4:$B$55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accuracy!$H$4:$H$55</c:f>
              <c:numCache>
                <c:formatCode>General</c:formatCode>
                <c:ptCount val="52"/>
                <c:pt idx="0">
                  <c:v>76.53</c:v>
                </c:pt>
                <c:pt idx="1">
                  <c:v>71.25</c:v>
                </c:pt>
                <c:pt idx="2">
                  <c:v>72.78</c:v>
                </c:pt>
                <c:pt idx="3">
                  <c:v>72.78</c:v>
                </c:pt>
                <c:pt idx="4">
                  <c:v>77.22</c:v>
                </c:pt>
                <c:pt idx="5">
                  <c:v>71.53</c:v>
                </c:pt>
                <c:pt idx="6">
                  <c:v>77.08</c:v>
                </c:pt>
                <c:pt idx="7">
                  <c:v>66.67</c:v>
                </c:pt>
                <c:pt idx="8">
                  <c:v>66.81</c:v>
                </c:pt>
                <c:pt idx="9">
                  <c:v>63.19</c:v>
                </c:pt>
                <c:pt idx="10">
                  <c:v>72.78</c:v>
                </c:pt>
                <c:pt idx="11">
                  <c:v>68.75</c:v>
                </c:pt>
                <c:pt idx="12">
                  <c:v>75</c:v>
                </c:pt>
                <c:pt idx="13">
                  <c:v>68.06</c:v>
                </c:pt>
                <c:pt idx="14">
                  <c:v>83.61</c:v>
                </c:pt>
                <c:pt idx="15">
                  <c:v>66.39</c:v>
                </c:pt>
                <c:pt idx="16">
                  <c:v>66.25</c:v>
                </c:pt>
                <c:pt idx="17">
                  <c:v>69.03</c:v>
                </c:pt>
                <c:pt idx="18">
                  <c:v>67.22</c:v>
                </c:pt>
                <c:pt idx="19">
                  <c:v>74.17</c:v>
                </c:pt>
                <c:pt idx="20">
                  <c:v>60.14</c:v>
                </c:pt>
                <c:pt idx="21">
                  <c:v>69.31</c:v>
                </c:pt>
                <c:pt idx="22">
                  <c:v>67.92</c:v>
                </c:pt>
                <c:pt idx="23">
                  <c:v>63.47</c:v>
                </c:pt>
                <c:pt idx="24">
                  <c:v>69.31</c:v>
                </c:pt>
                <c:pt idx="25">
                  <c:v>71.53</c:v>
                </c:pt>
                <c:pt idx="26">
                  <c:v>75.14</c:v>
                </c:pt>
                <c:pt idx="27">
                  <c:v>71.67</c:v>
                </c:pt>
                <c:pt idx="28">
                  <c:v>72.22</c:v>
                </c:pt>
                <c:pt idx="29">
                  <c:v>79.17</c:v>
                </c:pt>
                <c:pt idx="30">
                  <c:v>68.61</c:v>
                </c:pt>
                <c:pt idx="31">
                  <c:v>76.53</c:v>
                </c:pt>
                <c:pt idx="32">
                  <c:v>74.44</c:v>
                </c:pt>
                <c:pt idx="33">
                  <c:v>69.72</c:v>
                </c:pt>
                <c:pt idx="34">
                  <c:v>73.33</c:v>
                </c:pt>
                <c:pt idx="35">
                  <c:v>72.08</c:v>
                </c:pt>
                <c:pt idx="36">
                  <c:v>63.75</c:v>
                </c:pt>
                <c:pt idx="37">
                  <c:v>72.36</c:v>
                </c:pt>
                <c:pt idx="38">
                  <c:v>70.28</c:v>
                </c:pt>
                <c:pt idx="39">
                  <c:v>72.08</c:v>
                </c:pt>
                <c:pt idx="40">
                  <c:v>66.39</c:v>
                </c:pt>
                <c:pt idx="41">
                  <c:v>68.89</c:v>
                </c:pt>
                <c:pt idx="42">
                  <c:v>71.53</c:v>
                </c:pt>
                <c:pt idx="43">
                  <c:v>72.78</c:v>
                </c:pt>
                <c:pt idx="44">
                  <c:v>79.72</c:v>
                </c:pt>
                <c:pt idx="45">
                  <c:v>64.03</c:v>
                </c:pt>
                <c:pt idx="46">
                  <c:v>74.86</c:v>
                </c:pt>
                <c:pt idx="47">
                  <c:v>67.5</c:v>
                </c:pt>
                <c:pt idx="48">
                  <c:v>75.28</c:v>
                </c:pt>
                <c:pt idx="49">
                  <c:v>79.17</c:v>
                </c:pt>
                <c:pt idx="50">
                  <c:v>76.11</c:v>
                </c:pt>
                <c:pt idx="51">
                  <c:v>71.53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F-4545-AA52-B60F0023B421}"/>
            </c:ext>
          </c:extLst>
        </c:ser>
        <c:ser>
          <c:idx val="2"/>
          <c:order val="2"/>
          <c:tx>
            <c:strRef>
              <c:f>accuracy!$M$3</c:f>
              <c:strCache>
                <c:ptCount val="1"/>
                <c:pt idx="0">
                  <c:v>CEIL =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accuracy!$B$4:$B$55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accuracy!$M$4:$M$55</c:f>
              <c:numCache>
                <c:formatCode>General</c:formatCode>
                <c:ptCount val="52"/>
                <c:pt idx="0">
                  <c:v>74.03</c:v>
                </c:pt>
                <c:pt idx="1">
                  <c:v>79.31</c:v>
                </c:pt>
                <c:pt idx="2">
                  <c:v>74.03</c:v>
                </c:pt>
                <c:pt idx="3">
                  <c:v>80.56</c:v>
                </c:pt>
                <c:pt idx="4">
                  <c:v>71.81</c:v>
                </c:pt>
                <c:pt idx="5">
                  <c:v>80.83</c:v>
                </c:pt>
                <c:pt idx="6">
                  <c:v>78.06</c:v>
                </c:pt>
                <c:pt idx="7">
                  <c:v>77.5</c:v>
                </c:pt>
                <c:pt idx="8">
                  <c:v>76.39</c:v>
                </c:pt>
                <c:pt idx="9">
                  <c:v>82.08</c:v>
                </c:pt>
                <c:pt idx="10">
                  <c:v>79.72</c:v>
                </c:pt>
                <c:pt idx="11">
                  <c:v>83.06</c:v>
                </c:pt>
                <c:pt idx="12">
                  <c:v>79.31</c:v>
                </c:pt>
                <c:pt idx="13">
                  <c:v>80.97</c:v>
                </c:pt>
                <c:pt idx="14">
                  <c:v>70.56</c:v>
                </c:pt>
                <c:pt idx="15">
                  <c:v>83.33</c:v>
                </c:pt>
                <c:pt idx="16">
                  <c:v>89.86</c:v>
                </c:pt>
                <c:pt idx="17">
                  <c:v>76.81</c:v>
                </c:pt>
                <c:pt idx="18">
                  <c:v>82.22</c:v>
                </c:pt>
                <c:pt idx="19">
                  <c:v>78.33</c:v>
                </c:pt>
                <c:pt idx="20">
                  <c:v>69.86</c:v>
                </c:pt>
                <c:pt idx="21">
                  <c:v>85.28</c:v>
                </c:pt>
                <c:pt idx="22">
                  <c:v>78.47</c:v>
                </c:pt>
                <c:pt idx="23">
                  <c:v>80.83</c:v>
                </c:pt>
                <c:pt idx="24">
                  <c:v>82.5</c:v>
                </c:pt>
                <c:pt idx="25">
                  <c:v>82.64</c:v>
                </c:pt>
                <c:pt idx="26">
                  <c:v>78.19</c:v>
                </c:pt>
                <c:pt idx="27">
                  <c:v>81.25</c:v>
                </c:pt>
                <c:pt idx="28">
                  <c:v>76.39</c:v>
                </c:pt>
                <c:pt idx="29">
                  <c:v>74.31</c:v>
                </c:pt>
                <c:pt idx="30">
                  <c:v>82.08</c:v>
                </c:pt>
                <c:pt idx="31">
                  <c:v>69.58</c:v>
                </c:pt>
                <c:pt idx="32">
                  <c:v>76.94</c:v>
                </c:pt>
                <c:pt idx="33">
                  <c:v>82.5</c:v>
                </c:pt>
                <c:pt idx="34">
                  <c:v>73.33</c:v>
                </c:pt>
                <c:pt idx="35">
                  <c:v>77.36</c:v>
                </c:pt>
                <c:pt idx="36">
                  <c:v>87.22</c:v>
                </c:pt>
                <c:pt idx="37">
                  <c:v>74.44</c:v>
                </c:pt>
                <c:pt idx="38">
                  <c:v>82.08</c:v>
                </c:pt>
                <c:pt idx="39">
                  <c:v>75.56</c:v>
                </c:pt>
                <c:pt idx="40">
                  <c:v>83.61</c:v>
                </c:pt>
                <c:pt idx="41">
                  <c:v>82.5</c:v>
                </c:pt>
                <c:pt idx="42">
                  <c:v>72.78</c:v>
                </c:pt>
                <c:pt idx="43">
                  <c:v>79.72</c:v>
                </c:pt>
                <c:pt idx="44">
                  <c:v>75</c:v>
                </c:pt>
                <c:pt idx="45">
                  <c:v>64.44</c:v>
                </c:pt>
                <c:pt idx="46">
                  <c:v>78.06</c:v>
                </c:pt>
                <c:pt idx="47">
                  <c:v>80.56</c:v>
                </c:pt>
                <c:pt idx="48">
                  <c:v>75.83</c:v>
                </c:pt>
                <c:pt idx="49">
                  <c:v>77.64</c:v>
                </c:pt>
                <c:pt idx="50">
                  <c:v>79.03</c:v>
                </c:pt>
                <c:pt idx="51">
                  <c:v>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AF-4545-AA52-B60F0023B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726656"/>
        <c:axId val="710129856"/>
      </c:lineChart>
      <c:catAx>
        <c:axId val="83572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29856"/>
        <c:crosses val="autoZero"/>
        <c:auto val="1"/>
        <c:lblAlgn val="ctr"/>
        <c:lblOffset val="100"/>
        <c:noMultiLvlLbl val="0"/>
      </c:catAx>
      <c:valAx>
        <c:axId val="7101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7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6927</xdr:colOff>
      <xdr:row>2</xdr:row>
      <xdr:rowOff>173180</xdr:rowOff>
    </xdr:from>
    <xdr:to>
      <xdr:col>37</xdr:col>
      <xdr:colOff>124691</xdr:colOff>
      <xdr:row>45</xdr:row>
      <xdr:rowOff>13854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6D85F-F397-27BE-8E11-BF945964A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1"/>
  <sheetViews>
    <sheetView tabSelected="1" topLeftCell="O1" zoomScaleNormal="100" workbookViewId="0">
      <selection activeCell="K64" sqref="K64"/>
    </sheetView>
  </sheetViews>
  <sheetFormatPr defaultRowHeight="14.4" x14ac:dyDescent="0.3"/>
  <cols>
    <col min="3" max="3" width="12.109375" customWidth="1"/>
    <col min="4" max="4" width="11" customWidth="1"/>
    <col min="5" max="5" width="11.21875" customWidth="1"/>
    <col min="6" max="6" width="12" customWidth="1"/>
    <col min="7" max="7" width="11.77734375" customWidth="1"/>
    <col min="8" max="8" width="10.44140625" customWidth="1"/>
    <col min="9" max="9" width="11.21875" customWidth="1"/>
    <col min="10" max="10" width="12" customWidth="1"/>
    <col min="11" max="11" width="11.5546875" customWidth="1"/>
    <col min="12" max="12" width="10.77734375" customWidth="1"/>
    <col min="13" max="13" width="10.44140625" customWidth="1"/>
    <col min="14" max="14" width="10.33203125" customWidth="1"/>
    <col min="15" max="15" width="9.77734375" customWidth="1"/>
    <col min="16" max="16" width="11.44140625" customWidth="1"/>
    <col min="17" max="17" width="10.5546875" customWidth="1"/>
  </cols>
  <sheetData>
    <row r="2" spans="2:17" x14ac:dyDescent="0.3">
      <c r="C2" s="5" t="s">
        <v>18</v>
      </c>
      <c r="D2" s="5"/>
      <c r="E2" s="5"/>
      <c r="F2" s="5"/>
      <c r="G2" s="5"/>
      <c r="H2" s="5" t="s">
        <v>19</v>
      </c>
      <c r="I2" s="5"/>
      <c r="J2" s="5"/>
      <c r="K2" s="5"/>
      <c r="L2" s="5"/>
      <c r="M2" s="5" t="s">
        <v>20</v>
      </c>
      <c r="N2" s="5"/>
      <c r="O2" s="5"/>
      <c r="P2" s="5"/>
      <c r="Q2" s="5"/>
    </row>
    <row r="3" spans="2:17" x14ac:dyDescent="0.3">
      <c r="B3" s="2" t="s">
        <v>22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2:17" x14ac:dyDescent="0.3">
      <c r="B4" s="4">
        <v>10</v>
      </c>
      <c r="C4" s="1">
        <v>85.14</v>
      </c>
      <c r="D4" s="1">
        <v>7.64</v>
      </c>
      <c r="E4" s="1">
        <v>6.11</v>
      </c>
      <c r="F4" s="1">
        <v>1.1100000000000001</v>
      </c>
      <c r="G4" s="1">
        <v>0</v>
      </c>
      <c r="H4" s="7">
        <v>76.53</v>
      </c>
      <c r="I4" s="7">
        <v>20.56</v>
      </c>
      <c r="J4" s="7">
        <v>1.53</v>
      </c>
      <c r="K4" s="7">
        <v>0.83</v>
      </c>
      <c r="L4" s="7">
        <v>0.56000000000000005</v>
      </c>
      <c r="M4" s="1">
        <v>74.03</v>
      </c>
      <c r="N4" s="1">
        <v>0.56000000000000005</v>
      </c>
      <c r="O4" s="1">
        <v>23.06</v>
      </c>
      <c r="P4" s="1">
        <v>2.36</v>
      </c>
      <c r="Q4" s="1">
        <v>0</v>
      </c>
    </row>
    <row r="5" spans="2:17" x14ac:dyDescent="0.3">
      <c r="B5" s="4">
        <v>11</v>
      </c>
      <c r="C5" s="1">
        <v>84.31</v>
      </c>
      <c r="D5" s="1">
        <v>12.78</v>
      </c>
      <c r="E5" s="1">
        <v>1.81</v>
      </c>
      <c r="F5" s="1">
        <v>0</v>
      </c>
      <c r="G5" s="1">
        <v>1.1100000000000001</v>
      </c>
      <c r="H5" s="7">
        <v>71.25</v>
      </c>
      <c r="I5" s="7">
        <v>22.64</v>
      </c>
      <c r="J5" s="7">
        <v>0.28000000000000003</v>
      </c>
      <c r="K5" s="7">
        <v>0</v>
      </c>
      <c r="L5" s="7">
        <v>5.83</v>
      </c>
      <c r="M5" s="1">
        <v>79.31</v>
      </c>
      <c r="N5" s="1">
        <v>5.69</v>
      </c>
      <c r="O5" s="1">
        <v>14.58</v>
      </c>
      <c r="P5" s="1">
        <v>0.28000000000000003</v>
      </c>
      <c r="Q5" s="1">
        <v>0.14000000000000001</v>
      </c>
    </row>
    <row r="6" spans="2:17" x14ac:dyDescent="0.3">
      <c r="B6" s="4">
        <v>13</v>
      </c>
      <c r="C6" s="1">
        <v>81.81</v>
      </c>
      <c r="D6" s="1">
        <v>13.06</v>
      </c>
      <c r="E6" s="1">
        <v>3.61</v>
      </c>
      <c r="F6" s="1">
        <v>0.69</v>
      </c>
      <c r="G6" s="1">
        <v>0.83</v>
      </c>
      <c r="H6" s="7">
        <v>72.78</v>
      </c>
      <c r="I6" s="7">
        <v>22.36</v>
      </c>
      <c r="J6" s="7">
        <v>0.83</v>
      </c>
      <c r="K6" s="7">
        <v>0.28000000000000003</v>
      </c>
      <c r="L6" s="7">
        <v>3.75</v>
      </c>
      <c r="M6" s="1">
        <v>74.03</v>
      </c>
      <c r="N6" s="1">
        <v>3.75</v>
      </c>
      <c r="O6" s="1">
        <v>21.11</v>
      </c>
      <c r="P6" s="1">
        <v>1.1100000000000001</v>
      </c>
      <c r="Q6" s="1">
        <v>0</v>
      </c>
    </row>
    <row r="7" spans="2:17" x14ac:dyDescent="0.3">
      <c r="B7" s="4">
        <v>14</v>
      </c>
      <c r="C7" s="1">
        <v>87.78</v>
      </c>
      <c r="D7" s="1">
        <v>10.69</v>
      </c>
      <c r="E7" s="1">
        <v>1.39</v>
      </c>
      <c r="F7" s="1">
        <v>0</v>
      </c>
      <c r="G7" s="1">
        <v>0.14000000000000001</v>
      </c>
      <c r="H7" s="7">
        <v>72.78</v>
      </c>
      <c r="I7" s="7">
        <v>23.89</v>
      </c>
      <c r="J7" s="7">
        <v>0.42</v>
      </c>
      <c r="K7" s="7">
        <v>0</v>
      </c>
      <c r="L7" s="7">
        <v>2.92</v>
      </c>
      <c r="M7" s="1">
        <v>80.56</v>
      </c>
      <c r="N7" s="1">
        <v>2.92</v>
      </c>
      <c r="O7" s="1">
        <v>16.11</v>
      </c>
      <c r="P7" s="1">
        <v>0.42</v>
      </c>
      <c r="Q7" s="1">
        <v>0</v>
      </c>
    </row>
    <row r="8" spans="2:17" x14ac:dyDescent="0.3">
      <c r="B8" s="4">
        <v>15</v>
      </c>
      <c r="C8" s="1">
        <v>87.64</v>
      </c>
      <c r="D8" s="1">
        <v>6.25</v>
      </c>
      <c r="E8" s="1">
        <v>5.14</v>
      </c>
      <c r="F8" s="1">
        <v>0.69</v>
      </c>
      <c r="G8" s="1">
        <v>0.28000000000000003</v>
      </c>
      <c r="H8" s="7">
        <v>77.22</v>
      </c>
      <c r="I8" s="7">
        <v>20.14</v>
      </c>
      <c r="J8" s="7">
        <v>0.28000000000000003</v>
      </c>
      <c r="K8" s="7">
        <v>0.56000000000000005</v>
      </c>
      <c r="L8" s="7">
        <v>1.81</v>
      </c>
      <c r="M8" s="1">
        <v>71.81</v>
      </c>
      <c r="N8" s="1">
        <v>1.67</v>
      </c>
      <c r="O8" s="1">
        <v>25.56</v>
      </c>
      <c r="P8" s="1">
        <v>0.83</v>
      </c>
      <c r="Q8" s="1">
        <v>0.14000000000000001</v>
      </c>
    </row>
    <row r="9" spans="2:17" x14ac:dyDescent="0.3">
      <c r="B9" s="4">
        <v>16</v>
      </c>
      <c r="C9" s="1">
        <v>81.25</v>
      </c>
      <c r="D9" s="1">
        <v>12.36</v>
      </c>
      <c r="E9" s="1">
        <v>5.56</v>
      </c>
      <c r="F9" s="1">
        <v>0.14000000000000001</v>
      </c>
      <c r="G9" s="1">
        <v>0.69</v>
      </c>
      <c r="H9" s="7">
        <v>71.53</v>
      </c>
      <c r="I9" s="7">
        <v>24.17</v>
      </c>
      <c r="J9" s="7">
        <v>0.56000000000000005</v>
      </c>
      <c r="K9" s="7">
        <v>0</v>
      </c>
      <c r="L9" s="7">
        <v>3.75</v>
      </c>
      <c r="M9" s="1">
        <v>80.83</v>
      </c>
      <c r="N9" s="1">
        <v>3.75</v>
      </c>
      <c r="O9" s="1">
        <v>14.86</v>
      </c>
      <c r="P9" s="1">
        <v>0.56000000000000005</v>
      </c>
      <c r="Q9" s="1">
        <v>0</v>
      </c>
    </row>
    <row r="10" spans="2:17" x14ac:dyDescent="0.3">
      <c r="B10" s="4">
        <v>17</v>
      </c>
      <c r="C10" s="1">
        <v>89.72</v>
      </c>
      <c r="D10" s="1">
        <v>7.22</v>
      </c>
      <c r="E10" s="1">
        <v>2.78</v>
      </c>
      <c r="F10" s="1">
        <v>0</v>
      </c>
      <c r="G10" s="1">
        <v>0.28000000000000003</v>
      </c>
      <c r="H10" s="7">
        <v>77.08</v>
      </c>
      <c r="I10" s="7">
        <v>21.39</v>
      </c>
      <c r="J10" s="7">
        <v>0.14000000000000001</v>
      </c>
      <c r="K10" s="7">
        <v>0</v>
      </c>
      <c r="L10" s="7">
        <v>1.39</v>
      </c>
      <c r="M10" s="1">
        <v>78.06</v>
      </c>
      <c r="N10" s="1">
        <v>1.25</v>
      </c>
      <c r="O10" s="1">
        <v>20.420000000000002</v>
      </c>
      <c r="P10" s="1">
        <v>0.14000000000000001</v>
      </c>
      <c r="Q10" s="1">
        <v>0.14000000000000001</v>
      </c>
    </row>
    <row r="11" spans="2:17" x14ac:dyDescent="0.3">
      <c r="B11" s="4">
        <v>18</v>
      </c>
      <c r="C11" s="1">
        <v>78.75</v>
      </c>
      <c r="D11" s="1">
        <v>13.89</v>
      </c>
      <c r="E11" s="1">
        <v>4.72</v>
      </c>
      <c r="F11" s="1">
        <v>0.83</v>
      </c>
      <c r="G11" s="1">
        <v>1.81</v>
      </c>
      <c r="H11" s="7">
        <v>66.67</v>
      </c>
      <c r="I11" s="7">
        <v>25.83</v>
      </c>
      <c r="J11" s="7">
        <v>0.42</v>
      </c>
      <c r="K11" s="7">
        <v>0.69</v>
      </c>
      <c r="L11" s="7">
        <v>6.39</v>
      </c>
      <c r="M11" s="1">
        <v>77.5</v>
      </c>
      <c r="N11" s="1">
        <v>5.83</v>
      </c>
      <c r="O11" s="1">
        <v>15</v>
      </c>
      <c r="P11" s="1">
        <v>1.1100000000000001</v>
      </c>
      <c r="Q11" s="1">
        <v>0.56000000000000005</v>
      </c>
    </row>
    <row r="12" spans="2:17" x14ac:dyDescent="0.3">
      <c r="B12" s="4">
        <v>19</v>
      </c>
      <c r="C12" s="1">
        <v>80.83</v>
      </c>
      <c r="D12" s="1">
        <v>10.69</v>
      </c>
      <c r="E12" s="1">
        <v>5.56</v>
      </c>
      <c r="F12" s="1">
        <v>0.97</v>
      </c>
      <c r="G12" s="1">
        <v>1.94</v>
      </c>
      <c r="H12" s="7">
        <v>66.81</v>
      </c>
      <c r="I12" s="7">
        <v>24.72</v>
      </c>
      <c r="J12" s="7">
        <v>1.81</v>
      </c>
      <c r="K12" s="7">
        <v>0.83</v>
      </c>
      <c r="L12" s="7">
        <v>5.83</v>
      </c>
      <c r="M12" s="1">
        <v>76.39</v>
      </c>
      <c r="N12" s="1">
        <v>5.83</v>
      </c>
      <c r="O12" s="1">
        <v>15.14</v>
      </c>
      <c r="P12" s="1">
        <v>2.64</v>
      </c>
      <c r="Q12" s="1">
        <v>0</v>
      </c>
    </row>
    <row r="13" spans="2:17" x14ac:dyDescent="0.3">
      <c r="B13" s="4">
        <v>20</v>
      </c>
      <c r="C13" s="1">
        <v>82.08</v>
      </c>
      <c r="D13" s="1">
        <v>11.94</v>
      </c>
      <c r="E13" s="1">
        <v>3.89</v>
      </c>
      <c r="F13" s="1">
        <v>0.83</v>
      </c>
      <c r="G13" s="1">
        <v>1.25</v>
      </c>
      <c r="H13" s="7">
        <v>63.19</v>
      </c>
      <c r="I13" s="7">
        <v>30.42</v>
      </c>
      <c r="J13" s="7">
        <v>0.56000000000000005</v>
      </c>
      <c r="K13" s="7">
        <v>0.56000000000000005</v>
      </c>
      <c r="L13" s="7">
        <v>5.28</v>
      </c>
      <c r="M13" s="1">
        <v>82.08</v>
      </c>
      <c r="N13" s="1">
        <v>5.14</v>
      </c>
      <c r="O13" s="1">
        <v>11.53</v>
      </c>
      <c r="P13" s="1">
        <v>1.1100000000000001</v>
      </c>
      <c r="Q13" s="1">
        <v>0.14000000000000001</v>
      </c>
    </row>
    <row r="14" spans="2:17" x14ac:dyDescent="0.3">
      <c r="B14" s="4">
        <v>21</v>
      </c>
      <c r="C14" s="1">
        <v>86.53</v>
      </c>
      <c r="D14" s="1">
        <v>10.83</v>
      </c>
      <c r="E14" s="1">
        <v>2.2200000000000002</v>
      </c>
      <c r="F14" s="1">
        <v>0</v>
      </c>
      <c r="G14" s="1">
        <v>0.42</v>
      </c>
      <c r="H14" s="7">
        <v>72.78</v>
      </c>
      <c r="I14" s="7">
        <v>23.06</v>
      </c>
      <c r="J14" s="7">
        <v>0</v>
      </c>
      <c r="K14" s="7">
        <v>0</v>
      </c>
      <c r="L14" s="7">
        <v>4.17</v>
      </c>
      <c r="M14" s="1">
        <v>79.72</v>
      </c>
      <c r="N14" s="1">
        <v>4.03</v>
      </c>
      <c r="O14" s="1">
        <v>16.11</v>
      </c>
      <c r="P14" s="1">
        <v>0</v>
      </c>
      <c r="Q14" s="1">
        <v>0.14000000000000001</v>
      </c>
    </row>
    <row r="15" spans="2:17" x14ac:dyDescent="0.3">
      <c r="B15" s="4">
        <v>22</v>
      </c>
      <c r="C15" s="1">
        <v>84.31</v>
      </c>
      <c r="D15" s="1">
        <v>12.36</v>
      </c>
      <c r="E15" s="1">
        <v>3.06</v>
      </c>
      <c r="F15" s="1">
        <v>0</v>
      </c>
      <c r="G15" s="1">
        <v>0.28000000000000003</v>
      </c>
      <c r="H15" s="7">
        <v>68.75</v>
      </c>
      <c r="I15" s="7">
        <v>26.39</v>
      </c>
      <c r="J15" s="7">
        <v>0</v>
      </c>
      <c r="K15" s="7">
        <v>0</v>
      </c>
      <c r="L15" s="7">
        <v>4.8600000000000003</v>
      </c>
      <c r="M15" s="1">
        <v>83.06</v>
      </c>
      <c r="N15" s="1">
        <v>4.8600000000000003</v>
      </c>
      <c r="O15" s="1">
        <v>12.08</v>
      </c>
      <c r="P15" s="1">
        <v>0</v>
      </c>
      <c r="Q15" s="1">
        <v>0</v>
      </c>
    </row>
    <row r="16" spans="2:17" x14ac:dyDescent="0.3">
      <c r="B16" s="4">
        <v>25</v>
      </c>
      <c r="C16" s="1">
        <v>84.17</v>
      </c>
      <c r="D16" s="1">
        <v>12.64</v>
      </c>
      <c r="E16" s="1">
        <v>2.78</v>
      </c>
      <c r="F16" s="1">
        <v>0</v>
      </c>
      <c r="G16" s="1">
        <v>0.42</v>
      </c>
      <c r="H16" s="7">
        <v>75</v>
      </c>
      <c r="I16" s="7">
        <v>22.64</v>
      </c>
      <c r="J16" s="7">
        <v>0.42</v>
      </c>
      <c r="K16" s="7">
        <v>0</v>
      </c>
      <c r="L16" s="7">
        <v>1.94</v>
      </c>
      <c r="M16" s="1">
        <v>79.31</v>
      </c>
      <c r="N16" s="1">
        <v>1.94</v>
      </c>
      <c r="O16" s="1">
        <v>18.329999999999998</v>
      </c>
      <c r="P16" s="1">
        <v>0.42</v>
      </c>
      <c r="Q16" s="1">
        <v>0</v>
      </c>
    </row>
    <row r="17" spans="2:17" x14ac:dyDescent="0.3">
      <c r="B17" s="4">
        <v>26</v>
      </c>
      <c r="C17" s="1">
        <v>77.36</v>
      </c>
      <c r="D17" s="1">
        <v>17.920000000000002</v>
      </c>
      <c r="E17" s="1">
        <v>3.06</v>
      </c>
      <c r="F17" s="1">
        <v>0</v>
      </c>
      <c r="G17" s="1">
        <v>1.67</v>
      </c>
      <c r="H17" s="7">
        <v>68.06</v>
      </c>
      <c r="I17" s="7">
        <v>24.31</v>
      </c>
      <c r="J17" s="7">
        <v>0.14000000000000001</v>
      </c>
      <c r="K17" s="7">
        <v>0</v>
      </c>
      <c r="L17" s="7">
        <v>7.5</v>
      </c>
      <c r="M17" s="1">
        <v>80.97</v>
      </c>
      <c r="N17" s="1">
        <v>7.5</v>
      </c>
      <c r="O17" s="1">
        <v>11.39</v>
      </c>
      <c r="P17" s="1">
        <v>0.14000000000000001</v>
      </c>
      <c r="Q17" s="1">
        <v>0</v>
      </c>
    </row>
    <row r="18" spans="2:17" x14ac:dyDescent="0.3">
      <c r="B18" s="4">
        <v>30</v>
      </c>
      <c r="C18" s="1">
        <v>87.64</v>
      </c>
      <c r="D18" s="1">
        <v>2.78</v>
      </c>
      <c r="E18" s="1">
        <v>9.58</v>
      </c>
      <c r="F18" s="1">
        <v>0</v>
      </c>
      <c r="G18" s="1">
        <v>0</v>
      </c>
      <c r="H18" s="7">
        <v>83.61</v>
      </c>
      <c r="I18" s="7">
        <v>13.89</v>
      </c>
      <c r="J18" s="7">
        <v>2.36</v>
      </c>
      <c r="K18" s="7">
        <v>0</v>
      </c>
      <c r="L18" s="7">
        <v>0.14000000000000001</v>
      </c>
      <c r="M18" s="1">
        <v>70.56</v>
      </c>
      <c r="N18" s="1">
        <v>0.14000000000000001</v>
      </c>
      <c r="O18" s="1">
        <v>26.94</v>
      </c>
      <c r="P18" s="1">
        <v>2.36</v>
      </c>
      <c r="Q18" s="1">
        <v>0</v>
      </c>
    </row>
    <row r="19" spans="2:17" x14ac:dyDescent="0.3">
      <c r="B19" s="4">
        <v>31</v>
      </c>
      <c r="C19" s="1">
        <v>81.39</v>
      </c>
      <c r="D19" s="1">
        <v>12.08</v>
      </c>
      <c r="E19" s="1">
        <v>5.42</v>
      </c>
      <c r="F19" s="1">
        <v>0.83</v>
      </c>
      <c r="G19" s="1">
        <v>0.28000000000000003</v>
      </c>
      <c r="H19" s="7">
        <v>66.39</v>
      </c>
      <c r="I19" s="7">
        <v>31.67</v>
      </c>
      <c r="J19" s="7">
        <v>0.28000000000000003</v>
      </c>
      <c r="K19" s="7">
        <v>0.56000000000000005</v>
      </c>
      <c r="L19" s="7">
        <v>1.1100000000000001</v>
      </c>
      <c r="M19" s="1">
        <v>83.33</v>
      </c>
      <c r="N19" s="1">
        <v>1.1100000000000001</v>
      </c>
      <c r="O19" s="1">
        <v>14.72</v>
      </c>
      <c r="P19" s="1">
        <v>0.83</v>
      </c>
      <c r="Q19" s="1">
        <v>0</v>
      </c>
    </row>
    <row r="20" spans="2:17" x14ac:dyDescent="0.3">
      <c r="B20" s="4">
        <v>32</v>
      </c>
      <c r="C20" s="1">
        <v>84.58</v>
      </c>
      <c r="D20" s="1">
        <v>12.64</v>
      </c>
      <c r="E20" s="1">
        <v>2.78</v>
      </c>
      <c r="F20" s="1">
        <v>0</v>
      </c>
      <c r="G20" s="1">
        <v>0</v>
      </c>
      <c r="H20" s="7">
        <v>66.25</v>
      </c>
      <c r="I20" s="7">
        <v>33.19</v>
      </c>
      <c r="J20" s="7">
        <v>0</v>
      </c>
      <c r="K20" s="7">
        <v>0</v>
      </c>
      <c r="L20" s="7">
        <v>0.56000000000000005</v>
      </c>
      <c r="M20" s="1">
        <v>89.86</v>
      </c>
      <c r="N20" s="1">
        <v>0.56000000000000005</v>
      </c>
      <c r="O20" s="1">
        <v>9.58</v>
      </c>
      <c r="P20" s="1">
        <v>0</v>
      </c>
      <c r="Q20" s="1">
        <v>0</v>
      </c>
    </row>
    <row r="21" spans="2:17" x14ac:dyDescent="0.3">
      <c r="B21" s="4">
        <v>33</v>
      </c>
      <c r="C21" s="1">
        <v>78.19</v>
      </c>
      <c r="D21" s="1">
        <v>13.89</v>
      </c>
      <c r="E21" s="1">
        <v>6.11</v>
      </c>
      <c r="F21" s="1">
        <v>0.83</v>
      </c>
      <c r="G21" s="1">
        <v>0.97</v>
      </c>
      <c r="H21" s="7">
        <v>69.03</v>
      </c>
      <c r="I21" s="7">
        <v>25.14</v>
      </c>
      <c r="J21" s="7">
        <v>0.83</v>
      </c>
      <c r="K21" s="7">
        <v>0.69</v>
      </c>
      <c r="L21" s="7">
        <v>4.3099999999999996</v>
      </c>
      <c r="M21" s="1">
        <v>76.81</v>
      </c>
      <c r="N21" s="1">
        <v>4.03</v>
      </c>
      <c r="O21" s="1">
        <v>17.36</v>
      </c>
      <c r="P21" s="1">
        <v>1.53</v>
      </c>
      <c r="Q21" s="1">
        <v>0.28000000000000003</v>
      </c>
    </row>
    <row r="22" spans="2:17" x14ac:dyDescent="0.3">
      <c r="B22" s="4">
        <v>34</v>
      </c>
      <c r="C22" s="1">
        <v>78.75</v>
      </c>
      <c r="D22" s="1">
        <v>16.670000000000002</v>
      </c>
      <c r="E22" s="1">
        <v>3.33</v>
      </c>
      <c r="F22" s="1">
        <v>0</v>
      </c>
      <c r="G22" s="1">
        <v>1.25</v>
      </c>
      <c r="H22" s="7">
        <v>67.22</v>
      </c>
      <c r="I22" s="7">
        <v>25.56</v>
      </c>
      <c r="J22" s="7">
        <v>0.42</v>
      </c>
      <c r="K22" s="7">
        <v>0</v>
      </c>
      <c r="L22" s="7">
        <v>6.81</v>
      </c>
      <c r="M22" s="1">
        <v>82.22</v>
      </c>
      <c r="N22" s="1">
        <v>6.81</v>
      </c>
      <c r="O22" s="1">
        <v>10.56</v>
      </c>
      <c r="P22" s="1">
        <v>0.42</v>
      </c>
      <c r="Q22" s="1">
        <v>0</v>
      </c>
    </row>
    <row r="23" spans="2:17" x14ac:dyDescent="0.3">
      <c r="B23" s="4">
        <v>35</v>
      </c>
      <c r="C23" s="1">
        <v>82.22</v>
      </c>
      <c r="D23" s="1">
        <v>11.81</v>
      </c>
      <c r="E23" s="1">
        <v>5.14</v>
      </c>
      <c r="F23" s="1">
        <v>0</v>
      </c>
      <c r="G23" s="1">
        <v>0.83</v>
      </c>
      <c r="H23" s="7">
        <v>74.17</v>
      </c>
      <c r="I23" s="7">
        <v>21.67</v>
      </c>
      <c r="J23" s="7">
        <v>0.97</v>
      </c>
      <c r="K23" s="7">
        <v>0</v>
      </c>
      <c r="L23" s="7">
        <v>3.19</v>
      </c>
      <c r="M23" s="1">
        <v>78.33</v>
      </c>
      <c r="N23" s="1">
        <v>3.06</v>
      </c>
      <c r="O23" s="1">
        <v>17.5</v>
      </c>
      <c r="P23" s="1">
        <v>0.97</v>
      </c>
      <c r="Q23" s="1">
        <v>0.14000000000000001</v>
      </c>
    </row>
    <row r="24" spans="2:17" x14ac:dyDescent="0.3">
      <c r="B24" s="4">
        <v>37</v>
      </c>
      <c r="C24" s="1">
        <v>67.92</v>
      </c>
      <c r="D24" s="1">
        <v>16.809999999999999</v>
      </c>
      <c r="E24" s="1">
        <v>2.5</v>
      </c>
      <c r="F24" s="1">
        <v>1.39</v>
      </c>
      <c r="G24" s="1">
        <v>11.39</v>
      </c>
      <c r="H24" s="7">
        <v>60.14</v>
      </c>
      <c r="I24" s="7">
        <v>18.190000000000001</v>
      </c>
      <c r="J24" s="7">
        <v>0.97</v>
      </c>
      <c r="K24" s="7">
        <v>0.69</v>
      </c>
      <c r="L24" s="7">
        <v>20</v>
      </c>
      <c r="M24" s="1">
        <v>69.86</v>
      </c>
      <c r="N24" s="1">
        <v>15</v>
      </c>
      <c r="O24" s="1">
        <v>8.4700000000000006</v>
      </c>
      <c r="P24" s="1">
        <v>1.67</v>
      </c>
      <c r="Q24" s="1">
        <v>5</v>
      </c>
    </row>
    <row r="25" spans="2:17" x14ac:dyDescent="0.3">
      <c r="B25" s="4">
        <v>38</v>
      </c>
      <c r="C25" s="1">
        <v>86.25</v>
      </c>
      <c r="D25" s="1">
        <v>8.33</v>
      </c>
      <c r="E25" s="1">
        <v>5.42</v>
      </c>
      <c r="F25" s="1">
        <v>0</v>
      </c>
      <c r="G25" s="1">
        <v>0</v>
      </c>
      <c r="H25" s="7">
        <v>69.31</v>
      </c>
      <c r="I25" s="7">
        <v>28.61</v>
      </c>
      <c r="J25" s="7">
        <v>0</v>
      </c>
      <c r="K25" s="7">
        <v>0</v>
      </c>
      <c r="L25" s="7">
        <v>2.08</v>
      </c>
      <c r="M25" s="1">
        <v>85.28</v>
      </c>
      <c r="N25" s="1">
        <v>2.08</v>
      </c>
      <c r="O25" s="1">
        <v>12.64</v>
      </c>
      <c r="P25" s="1">
        <v>0</v>
      </c>
      <c r="Q25" s="1">
        <v>0</v>
      </c>
    </row>
    <row r="26" spans="2:17" x14ac:dyDescent="0.3">
      <c r="B26" s="4">
        <v>39</v>
      </c>
      <c r="C26" s="1">
        <v>81.39</v>
      </c>
      <c r="D26" s="1">
        <v>12.78</v>
      </c>
      <c r="E26" s="1">
        <v>4.3099999999999996</v>
      </c>
      <c r="F26" s="1">
        <v>0.83</v>
      </c>
      <c r="G26" s="1">
        <v>0.69</v>
      </c>
      <c r="H26" s="7">
        <v>67.92</v>
      </c>
      <c r="I26" s="7">
        <v>26.81</v>
      </c>
      <c r="J26" s="7">
        <v>0.42</v>
      </c>
      <c r="K26" s="7">
        <v>0.56000000000000005</v>
      </c>
      <c r="L26" s="7">
        <v>4.3099999999999996</v>
      </c>
      <c r="M26" s="1">
        <v>78.47</v>
      </c>
      <c r="N26" s="1">
        <v>4.3099999999999996</v>
      </c>
      <c r="O26" s="1">
        <v>16.25</v>
      </c>
      <c r="P26" s="1">
        <v>0.97</v>
      </c>
      <c r="Q26" s="1">
        <v>0</v>
      </c>
    </row>
    <row r="27" spans="2:17" x14ac:dyDescent="0.3">
      <c r="B27" s="4">
        <v>40</v>
      </c>
      <c r="C27" s="1">
        <v>82.64</v>
      </c>
      <c r="D27" s="1">
        <v>15.14</v>
      </c>
      <c r="E27" s="1">
        <v>1.1100000000000001</v>
      </c>
      <c r="F27" s="1">
        <v>0.56000000000000005</v>
      </c>
      <c r="G27" s="1">
        <v>0.56000000000000005</v>
      </c>
      <c r="H27" s="7">
        <v>63.47</v>
      </c>
      <c r="I27" s="7">
        <v>29.17</v>
      </c>
      <c r="J27" s="7">
        <v>0.83</v>
      </c>
      <c r="K27" s="7">
        <v>0</v>
      </c>
      <c r="L27" s="7">
        <v>6.53</v>
      </c>
      <c r="M27" s="1">
        <v>80.83</v>
      </c>
      <c r="N27" s="1">
        <v>6.53</v>
      </c>
      <c r="O27" s="1">
        <v>11.81</v>
      </c>
      <c r="P27" s="1">
        <v>0.83</v>
      </c>
      <c r="Q27" s="1">
        <v>0</v>
      </c>
    </row>
    <row r="28" spans="2:17" x14ac:dyDescent="0.3">
      <c r="B28" s="4">
        <v>41</v>
      </c>
      <c r="C28" s="1">
        <v>80.28</v>
      </c>
      <c r="D28" s="1">
        <v>16.39</v>
      </c>
      <c r="E28" s="1">
        <v>1.94</v>
      </c>
      <c r="F28" s="1">
        <v>0</v>
      </c>
      <c r="G28" s="1">
        <v>1.39</v>
      </c>
      <c r="H28" s="7">
        <v>69.31</v>
      </c>
      <c r="I28" s="7">
        <v>25.83</v>
      </c>
      <c r="J28" s="7">
        <v>0.14000000000000001</v>
      </c>
      <c r="K28" s="7">
        <v>0</v>
      </c>
      <c r="L28" s="7">
        <v>4.72</v>
      </c>
      <c r="M28" s="1">
        <v>82.5</v>
      </c>
      <c r="N28" s="1">
        <v>4.72</v>
      </c>
      <c r="O28" s="1">
        <v>12.64</v>
      </c>
      <c r="P28" s="1">
        <v>0.14000000000000001</v>
      </c>
      <c r="Q28" s="1">
        <v>0</v>
      </c>
    </row>
    <row r="29" spans="2:17" x14ac:dyDescent="0.3">
      <c r="B29" s="4">
        <v>42</v>
      </c>
      <c r="C29" s="1">
        <v>80.14</v>
      </c>
      <c r="D29" s="1">
        <v>10.42</v>
      </c>
      <c r="E29" s="1">
        <v>7.78</v>
      </c>
      <c r="F29" s="1">
        <v>0.28000000000000003</v>
      </c>
      <c r="G29" s="1">
        <v>1.39</v>
      </c>
      <c r="H29" s="7">
        <v>71.53</v>
      </c>
      <c r="I29" s="7">
        <v>24.17</v>
      </c>
      <c r="J29" s="7">
        <v>0.56000000000000005</v>
      </c>
      <c r="K29" s="7">
        <v>0.14000000000000001</v>
      </c>
      <c r="L29" s="7">
        <v>3.61</v>
      </c>
      <c r="M29" s="1">
        <v>82.64</v>
      </c>
      <c r="N29" s="1">
        <v>3.61</v>
      </c>
      <c r="O29" s="1">
        <v>13.06</v>
      </c>
      <c r="P29" s="1">
        <v>0.69</v>
      </c>
      <c r="Q29" s="1">
        <v>0</v>
      </c>
    </row>
    <row r="30" spans="2:17" x14ac:dyDescent="0.3">
      <c r="B30" s="4">
        <v>43</v>
      </c>
      <c r="C30" s="1">
        <v>82.5</v>
      </c>
      <c r="D30" s="1">
        <v>11.53</v>
      </c>
      <c r="E30" s="1">
        <v>5.28</v>
      </c>
      <c r="F30" s="1">
        <v>0</v>
      </c>
      <c r="G30" s="1">
        <v>0.69</v>
      </c>
      <c r="H30" s="7">
        <v>75.14</v>
      </c>
      <c r="I30" s="7">
        <v>21.53</v>
      </c>
      <c r="J30" s="7">
        <v>0.14000000000000001</v>
      </c>
      <c r="K30" s="7">
        <v>0</v>
      </c>
      <c r="L30" s="7">
        <v>3.19</v>
      </c>
      <c r="M30" s="1">
        <v>78.19</v>
      </c>
      <c r="N30" s="1">
        <v>3.19</v>
      </c>
      <c r="O30" s="1">
        <v>18.47</v>
      </c>
      <c r="P30" s="1">
        <v>0.14000000000000001</v>
      </c>
      <c r="Q30" s="1">
        <v>0</v>
      </c>
    </row>
    <row r="31" spans="2:17" x14ac:dyDescent="0.3">
      <c r="B31" s="4">
        <v>45</v>
      </c>
      <c r="C31" s="1">
        <v>83.19</v>
      </c>
      <c r="D31" s="1">
        <v>11.94</v>
      </c>
      <c r="E31" s="1">
        <v>4.58</v>
      </c>
      <c r="F31" s="1">
        <v>0</v>
      </c>
      <c r="G31" s="1">
        <v>0.28000000000000003</v>
      </c>
      <c r="H31" s="7">
        <v>71.67</v>
      </c>
      <c r="I31" s="7">
        <v>24.58</v>
      </c>
      <c r="J31" s="7">
        <v>0.28000000000000003</v>
      </c>
      <c r="K31" s="7">
        <v>0</v>
      </c>
      <c r="L31" s="7">
        <v>3.47</v>
      </c>
      <c r="M31" s="1">
        <v>81.25</v>
      </c>
      <c r="N31" s="1">
        <v>3.47</v>
      </c>
      <c r="O31" s="1">
        <v>15</v>
      </c>
      <c r="P31" s="1">
        <v>0.28000000000000003</v>
      </c>
      <c r="Q31" s="1">
        <v>0</v>
      </c>
    </row>
    <row r="32" spans="2:17" x14ac:dyDescent="0.3">
      <c r="B32" s="4">
        <v>49</v>
      </c>
      <c r="C32" s="1">
        <v>77.22</v>
      </c>
      <c r="D32" s="1">
        <v>12.78</v>
      </c>
      <c r="E32" s="1">
        <v>7.5</v>
      </c>
      <c r="F32" s="1">
        <v>0.42</v>
      </c>
      <c r="G32" s="1">
        <v>2.08</v>
      </c>
      <c r="H32" s="7">
        <v>72.22</v>
      </c>
      <c r="I32" s="7">
        <v>19.72</v>
      </c>
      <c r="J32" s="7">
        <v>1.1100000000000001</v>
      </c>
      <c r="K32" s="7">
        <v>0</v>
      </c>
      <c r="L32" s="7">
        <v>6.94</v>
      </c>
      <c r="M32" s="1">
        <v>76.39</v>
      </c>
      <c r="N32" s="1">
        <v>6.53</v>
      </c>
      <c r="O32" s="1">
        <v>15.56</v>
      </c>
      <c r="P32" s="1">
        <v>1.1100000000000001</v>
      </c>
      <c r="Q32" s="1">
        <v>0.42</v>
      </c>
    </row>
    <row r="33" spans="2:17" x14ac:dyDescent="0.3">
      <c r="B33" s="4">
        <v>50</v>
      </c>
      <c r="C33" s="1">
        <v>87.22</v>
      </c>
      <c r="D33" s="1">
        <v>5.69</v>
      </c>
      <c r="E33" s="1">
        <v>6.67</v>
      </c>
      <c r="F33" s="1">
        <v>0</v>
      </c>
      <c r="G33" s="1">
        <v>0.42</v>
      </c>
      <c r="H33" s="7">
        <v>79.17</v>
      </c>
      <c r="I33" s="7">
        <v>17.64</v>
      </c>
      <c r="J33" s="7">
        <v>1.25</v>
      </c>
      <c r="K33" s="7">
        <v>0</v>
      </c>
      <c r="L33" s="7">
        <v>1.94</v>
      </c>
      <c r="M33" s="1">
        <v>74.31</v>
      </c>
      <c r="N33" s="1">
        <v>1.94</v>
      </c>
      <c r="O33" s="1">
        <v>22.5</v>
      </c>
      <c r="P33" s="1">
        <v>1.25</v>
      </c>
      <c r="Q33" s="1">
        <v>0</v>
      </c>
    </row>
    <row r="34" spans="2:17" x14ac:dyDescent="0.3">
      <c r="B34" s="4">
        <v>51</v>
      </c>
      <c r="C34" s="1">
        <v>75.83</v>
      </c>
      <c r="D34" s="1">
        <v>17.5</v>
      </c>
      <c r="E34" s="1">
        <v>5.42</v>
      </c>
      <c r="F34" s="1">
        <v>0</v>
      </c>
      <c r="G34" s="1">
        <v>1.25</v>
      </c>
      <c r="H34" s="7">
        <v>68.61</v>
      </c>
      <c r="I34" s="7">
        <v>25.42</v>
      </c>
      <c r="J34" s="7">
        <v>0.83</v>
      </c>
      <c r="K34" s="7">
        <v>0</v>
      </c>
      <c r="L34" s="7">
        <v>5.14</v>
      </c>
      <c r="M34" s="1">
        <v>82.08</v>
      </c>
      <c r="N34" s="1">
        <v>4.8600000000000003</v>
      </c>
      <c r="O34" s="1">
        <v>11.94</v>
      </c>
      <c r="P34" s="1">
        <v>0.83</v>
      </c>
      <c r="Q34" s="1">
        <v>0.28000000000000003</v>
      </c>
    </row>
    <row r="35" spans="2:17" x14ac:dyDescent="0.3">
      <c r="B35" s="4">
        <v>52</v>
      </c>
      <c r="C35" s="1">
        <v>75.14</v>
      </c>
      <c r="D35" s="1">
        <v>6.94</v>
      </c>
      <c r="E35" s="1">
        <v>15.42</v>
      </c>
      <c r="F35" s="1">
        <v>1.53</v>
      </c>
      <c r="G35" s="1">
        <v>0.97</v>
      </c>
      <c r="H35" s="7">
        <v>76.53</v>
      </c>
      <c r="I35" s="7">
        <v>12.92</v>
      </c>
      <c r="J35" s="7">
        <v>7.36</v>
      </c>
      <c r="K35" s="7">
        <v>0.28000000000000003</v>
      </c>
      <c r="L35" s="7">
        <v>2.92</v>
      </c>
      <c r="M35" s="1">
        <v>69.58</v>
      </c>
      <c r="N35" s="1">
        <v>2.92</v>
      </c>
      <c r="O35" s="1">
        <v>19.86</v>
      </c>
      <c r="P35" s="1">
        <v>7.64</v>
      </c>
      <c r="Q35" s="1">
        <v>0</v>
      </c>
    </row>
    <row r="36" spans="2:17" x14ac:dyDescent="0.3">
      <c r="B36" s="4">
        <v>53</v>
      </c>
      <c r="C36" s="1">
        <v>80.97</v>
      </c>
      <c r="D36" s="1">
        <v>11.81</v>
      </c>
      <c r="E36" s="1">
        <v>6.53</v>
      </c>
      <c r="F36" s="1">
        <v>0</v>
      </c>
      <c r="G36" s="1">
        <v>0.69</v>
      </c>
      <c r="H36" s="7">
        <v>74.44</v>
      </c>
      <c r="I36" s="7">
        <v>20.28</v>
      </c>
      <c r="J36" s="7">
        <v>1.39</v>
      </c>
      <c r="K36" s="7">
        <v>0</v>
      </c>
      <c r="L36" s="7">
        <v>3.89</v>
      </c>
      <c r="M36" s="1">
        <v>76.94</v>
      </c>
      <c r="N36" s="1">
        <v>3.89</v>
      </c>
      <c r="O36" s="1">
        <v>17.78</v>
      </c>
      <c r="P36" s="1">
        <v>1.39</v>
      </c>
      <c r="Q36" s="1">
        <v>0</v>
      </c>
    </row>
    <row r="37" spans="2:17" x14ac:dyDescent="0.3">
      <c r="B37" s="4">
        <v>54</v>
      </c>
      <c r="C37" s="1">
        <v>78.61</v>
      </c>
      <c r="D37" s="1">
        <v>16.670000000000002</v>
      </c>
      <c r="E37" s="1">
        <v>2.64</v>
      </c>
      <c r="F37" s="1">
        <v>0</v>
      </c>
      <c r="G37" s="1">
        <v>2.08</v>
      </c>
      <c r="H37" s="7">
        <v>69.72</v>
      </c>
      <c r="I37" s="7">
        <v>24.03</v>
      </c>
      <c r="J37" s="7">
        <v>0.42</v>
      </c>
      <c r="K37" s="7">
        <v>0</v>
      </c>
      <c r="L37" s="7">
        <v>5.83</v>
      </c>
      <c r="M37" s="1">
        <v>82.5</v>
      </c>
      <c r="N37" s="1">
        <v>5.56</v>
      </c>
      <c r="O37" s="1">
        <v>11.25</v>
      </c>
      <c r="P37" s="1">
        <v>0.42</v>
      </c>
      <c r="Q37" s="1">
        <v>0.28000000000000003</v>
      </c>
    </row>
    <row r="38" spans="2:17" x14ac:dyDescent="0.3">
      <c r="B38" s="4">
        <v>55</v>
      </c>
      <c r="C38" s="1">
        <v>85.69</v>
      </c>
      <c r="D38" s="1">
        <v>8.89</v>
      </c>
      <c r="E38" s="1">
        <v>4.03</v>
      </c>
      <c r="F38" s="1">
        <v>0.83</v>
      </c>
      <c r="G38" s="1">
        <v>0.56000000000000005</v>
      </c>
      <c r="H38" s="7">
        <v>73.33</v>
      </c>
      <c r="I38" s="7">
        <v>21.67</v>
      </c>
      <c r="J38" s="7">
        <v>0.83</v>
      </c>
      <c r="K38" s="7">
        <v>0.69</v>
      </c>
      <c r="L38" s="7">
        <v>3.47</v>
      </c>
      <c r="M38" s="1">
        <v>73.33</v>
      </c>
      <c r="N38" s="1">
        <v>3.47</v>
      </c>
      <c r="O38" s="1">
        <v>21.67</v>
      </c>
      <c r="P38" s="1">
        <v>1.53</v>
      </c>
      <c r="Q38" s="1">
        <v>0</v>
      </c>
    </row>
    <row r="39" spans="2:17" x14ac:dyDescent="0.3">
      <c r="B39" s="4">
        <v>56</v>
      </c>
      <c r="C39" s="1">
        <v>88.19</v>
      </c>
      <c r="D39" s="1">
        <v>5.97</v>
      </c>
      <c r="E39" s="1">
        <v>5</v>
      </c>
      <c r="F39" s="1">
        <v>0.69</v>
      </c>
      <c r="G39" s="1">
        <v>0.14000000000000001</v>
      </c>
      <c r="H39" s="7">
        <v>72.08</v>
      </c>
      <c r="I39" s="7">
        <v>25.69</v>
      </c>
      <c r="J39" s="7">
        <v>1.1100000000000001</v>
      </c>
      <c r="K39" s="7">
        <v>0.14000000000000001</v>
      </c>
      <c r="L39" s="7">
        <v>0.97</v>
      </c>
      <c r="M39" s="1">
        <v>77.36</v>
      </c>
      <c r="N39" s="1">
        <v>0.97</v>
      </c>
      <c r="O39" s="1">
        <v>20.420000000000002</v>
      </c>
      <c r="P39" s="1">
        <v>1.25</v>
      </c>
      <c r="Q39" s="1">
        <v>0</v>
      </c>
    </row>
    <row r="40" spans="2:17" x14ac:dyDescent="0.3">
      <c r="B40" s="4">
        <v>58</v>
      </c>
      <c r="C40" s="1">
        <v>78.19</v>
      </c>
      <c r="D40" s="1">
        <v>20.420000000000002</v>
      </c>
      <c r="E40" s="1">
        <v>0.42</v>
      </c>
      <c r="F40" s="1">
        <v>0</v>
      </c>
      <c r="G40" s="1">
        <v>0.97</v>
      </c>
      <c r="H40" s="7">
        <v>63.75</v>
      </c>
      <c r="I40" s="7">
        <v>28.33</v>
      </c>
      <c r="J40" s="7">
        <v>0</v>
      </c>
      <c r="K40" s="7">
        <v>0</v>
      </c>
      <c r="L40" s="7">
        <v>7.92</v>
      </c>
      <c r="M40" s="1">
        <v>87.22</v>
      </c>
      <c r="N40" s="1">
        <v>7.92</v>
      </c>
      <c r="O40" s="1">
        <v>4.8600000000000003</v>
      </c>
      <c r="P40" s="1">
        <v>0</v>
      </c>
      <c r="Q40" s="1">
        <v>0</v>
      </c>
    </row>
    <row r="41" spans="2:17" x14ac:dyDescent="0.3">
      <c r="B41" s="4">
        <v>60</v>
      </c>
      <c r="C41" s="1">
        <v>85.42</v>
      </c>
      <c r="D41" s="1">
        <v>9.17</v>
      </c>
      <c r="E41" s="1">
        <v>3.75</v>
      </c>
      <c r="F41" s="1">
        <v>0.83</v>
      </c>
      <c r="G41" s="1">
        <v>0.83</v>
      </c>
      <c r="H41" s="7">
        <v>72.36</v>
      </c>
      <c r="I41" s="7">
        <v>22.78</v>
      </c>
      <c r="J41" s="7">
        <v>0.14000000000000001</v>
      </c>
      <c r="K41" s="7">
        <v>0.69</v>
      </c>
      <c r="L41" s="7">
        <v>4.03</v>
      </c>
      <c r="M41" s="1">
        <v>74.44</v>
      </c>
      <c r="N41" s="1">
        <v>3.75</v>
      </c>
      <c r="O41" s="1">
        <v>20.69</v>
      </c>
      <c r="P41" s="1">
        <v>0.83</v>
      </c>
      <c r="Q41" s="1">
        <v>0.28000000000000003</v>
      </c>
    </row>
    <row r="42" spans="2:17" x14ac:dyDescent="0.3">
      <c r="B42" s="4">
        <v>61</v>
      </c>
      <c r="C42" s="1">
        <v>81.94</v>
      </c>
      <c r="D42" s="1">
        <v>12.5</v>
      </c>
      <c r="E42" s="1">
        <v>4.58</v>
      </c>
      <c r="F42" s="1">
        <v>0</v>
      </c>
      <c r="G42" s="1">
        <v>0.97</v>
      </c>
      <c r="H42" s="7">
        <v>70.28</v>
      </c>
      <c r="I42" s="7">
        <v>25.42</v>
      </c>
      <c r="J42" s="7">
        <v>0.14000000000000001</v>
      </c>
      <c r="K42" s="7">
        <v>0</v>
      </c>
      <c r="L42" s="7">
        <v>4.17</v>
      </c>
      <c r="M42" s="1">
        <v>82.08</v>
      </c>
      <c r="N42" s="1">
        <v>4.17</v>
      </c>
      <c r="O42" s="1">
        <v>13.61</v>
      </c>
      <c r="P42" s="1">
        <v>0.14000000000000001</v>
      </c>
      <c r="Q42" s="1">
        <v>0</v>
      </c>
    </row>
    <row r="43" spans="2:17" x14ac:dyDescent="0.3">
      <c r="B43" s="4">
        <v>62</v>
      </c>
      <c r="C43" s="1">
        <v>80.28</v>
      </c>
      <c r="D43" s="1">
        <v>10.83</v>
      </c>
      <c r="E43" s="1">
        <v>7.5</v>
      </c>
      <c r="F43" s="1">
        <v>1.1100000000000001</v>
      </c>
      <c r="G43" s="1">
        <v>0.28000000000000003</v>
      </c>
      <c r="H43" s="7">
        <v>72.08</v>
      </c>
      <c r="I43" s="7">
        <v>23.89</v>
      </c>
      <c r="J43" s="7">
        <v>1.53</v>
      </c>
      <c r="K43" s="7">
        <v>0.56000000000000005</v>
      </c>
      <c r="L43" s="7">
        <v>1.94</v>
      </c>
      <c r="M43" s="1">
        <v>75.56</v>
      </c>
      <c r="N43" s="1">
        <v>1.94</v>
      </c>
      <c r="O43" s="1">
        <v>20.420000000000002</v>
      </c>
      <c r="P43" s="1">
        <v>2.08</v>
      </c>
      <c r="Q43" s="1">
        <v>0</v>
      </c>
    </row>
    <row r="44" spans="2:17" x14ac:dyDescent="0.3">
      <c r="B44" s="4">
        <v>63</v>
      </c>
      <c r="C44" s="1">
        <v>81.25</v>
      </c>
      <c r="D44" s="1">
        <v>15.14</v>
      </c>
      <c r="E44" s="1">
        <v>2.2200000000000002</v>
      </c>
      <c r="F44" s="1">
        <v>0</v>
      </c>
      <c r="G44" s="1">
        <v>1.39</v>
      </c>
      <c r="H44" s="7">
        <v>66.39</v>
      </c>
      <c r="I44" s="7">
        <v>26.94</v>
      </c>
      <c r="J44" s="7">
        <v>0.42</v>
      </c>
      <c r="K44" s="7">
        <v>0</v>
      </c>
      <c r="L44" s="7">
        <v>6.25</v>
      </c>
      <c r="M44" s="1">
        <v>83.61</v>
      </c>
      <c r="N44" s="1">
        <v>5.97</v>
      </c>
      <c r="O44" s="1">
        <v>9.7200000000000006</v>
      </c>
      <c r="P44" s="1">
        <v>0.42</v>
      </c>
      <c r="Q44" s="1">
        <v>0.28000000000000003</v>
      </c>
    </row>
    <row r="45" spans="2:17" x14ac:dyDescent="0.3">
      <c r="B45" s="4">
        <v>64</v>
      </c>
      <c r="C45" s="1">
        <v>82.5</v>
      </c>
      <c r="D45" s="1">
        <v>13.75</v>
      </c>
      <c r="E45" s="1">
        <v>3.33</v>
      </c>
      <c r="F45" s="1">
        <v>0</v>
      </c>
      <c r="G45" s="1">
        <v>0.42</v>
      </c>
      <c r="H45" s="7">
        <v>68.89</v>
      </c>
      <c r="I45" s="7">
        <v>25.83</v>
      </c>
      <c r="J45" s="7">
        <v>0.42</v>
      </c>
      <c r="K45" s="7">
        <v>0</v>
      </c>
      <c r="L45" s="7">
        <v>4.8600000000000003</v>
      </c>
      <c r="M45" s="1">
        <v>82.5</v>
      </c>
      <c r="N45" s="1">
        <v>4.8600000000000003</v>
      </c>
      <c r="O45" s="1">
        <v>12.22</v>
      </c>
      <c r="P45" s="1">
        <v>0.42</v>
      </c>
      <c r="Q45" s="1">
        <v>0</v>
      </c>
    </row>
    <row r="46" spans="2:17" x14ac:dyDescent="0.3">
      <c r="B46" s="4">
        <v>65</v>
      </c>
      <c r="C46" s="1">
        <v>75.42</v>
      </c>
      <c r="D46" s="1">
        <v>12.92</v>
      </c>
      <c r="E46" s="1">
        <v>9.31</v>
      </c>
      <c r="F46" s="1">
        <v>0.83</v>
      </c>
      <c r="G46" s="1">
        <v>1.53</v>
      </c>
      <c r="H46" s="7">
        <v>71.53</v>
      </c>
      <c r="I46" s="7">
        <v>21.11</v>
      </c>
      <c r="J46" s="7">
        <v>1.67</v>
      </c>
      <c r="K46" s="7">
        <v>0.69</v>
      </c>
      <c r="L46" s="7">
        <v>5</v>
      </c>
      <c r="M46" s="1">
        <v>72.78</v>
      </c>
      <c r="N46" s="1">
        <v>4.3099999999999996</v>
      </c>
      <c r="O46" s="1">
        <v>19.86</v>
      </c>
      <c r="P46" s="1">
        <v>2.36</v>
      </c>
      <c r="Q46" s="1">
        <v>0.69</v>
      </c>
    </row>
    <row r="47" spans="2:17" x14ac:dyDescent="0.3">
      <c r="B47" s="4">
        <v>66</v>
      </c>
      <c r="C47" s="1">
        <v>80.83</v>
      </c>
      <c r="D47" s="1">
        <v>15.56</v>
      </c>
      <c r="E47" s="1">
        <v>3.06</v>
      </c>
      <c r="F47" s="1">
        <v>0</v>
      </c>
      <c r="G47" s="1">
        <v>0.56000000000000005</v>
      </c>
      <c r="H47" s="7">
        <v>72.78</v>
      </c>
      <c r="I47" s="7">
        <v>23.06</v>
      </c>
      <c r="J47" s="7">
        <v>0</v>
      </c>
      <c r="K47" s="7">
        <v>0</v>
      </c>
      <c r="L47" s="7">
        <v>4.17</v>
      </c>
      <c r="M47" s="1">
        <v>79.72</v>
      </c>
      <c r="N47" s="1">
        <v>4.17</v>
      </c>
      <c r="O47" s="1">
        <v>16.11</v>
      </c>
      <c r="P47" s="1">
        <v>0</v>
      </c>
      <c r="Q47" s="1">
        <v>0</v>
      </c>
    </row>
    <row r="48" spans="2:17" x14ac:dyDescent="0.3">
      <c r="B48" s="4">
        <v>67</v>
      </c>
      <c r="C48" s="1">
        <v>82.78</v>
      </c>
      <c r="D48" s="1">
        <v>8.4700000000000006</v>
      </c>
      <c r="E48" s="1">
        <v>8.33</v>
      </c>
      <c r="F48" s="1">
        <v>0.28000000000000003</v>
      </c>
      <c r="G48" s="1">
        <v>0.14000000000000001</v>
      </c>
      <c r="H48" s="7">
        <v>79.72</v>
      </c>
      <c r="I48" s="7">
        <v>18.329999999999998</v>
      </c>
      <c r="J48" s="7">
        <v>0.83</v>
      </c>
      <c r="K48" s="7">
        <v>0.14000000000000001</v>
      </c>
      <c r="L48" s="7">
        <v>0.97</v>
      </c>
      <c r="M48" s="1">
        <v>75</v>
      </c>
      <c r="N48" s="1">
        <v>0.97</v>
      </c>
      <c r="O48" s="1">
        <v>23.06</v>
      </c>
      <c r="P48" s="1">
        <v>0.97</v>
      </c>
      <c r="Q48" s="1">
        <v>0</v>
      </c>
    </row>
    <row r="49" spans="2:17" x14ac:dyDescent="0.3">
      <c r="B49" s="4">
        <v>68</v>
      </c>
      <c r="C49" s="1">
        <v>64.86</v>
      </c>
      <c r="D49" s="1">
        <v>8.89</v>
      </c>
      <c r="E49" s="1">
        <v>6.81</v>
      </c>
      <c r="F49" s="1">
        <v>5</v>
      </c>
      <c r="G49" s="1">
        <v>14.44</v>
      </c>
      <c r="H49" s="7">
        <v>64.03</v>
      </c>
      <c r="I49" s="7">
        <v>9.0299999999999994</v>
      </c>
      <c r="J49" s="7">
        <v>5.83</v>
      </c>
      <c r="K49" s="7">
        <v>2.2200000000000002</v>
      </c>
      <c r="L49" s="7">
        <v>18.89</v>
      </c>
      <c r="M49" s="1">
        <v>64.44</v>
      </c>
      <c r="N49" s="1">
        <v>10.14</v>
      </c>
      <c r="O49" s="1">
        <v>8.61</v>
      </c>
      <c r="P49" s="1">
        <v>8.06</v>
      </c>
      <c r="Q49" s="1">
        <v>8.75</v>
      </c>
    </row>
    <row r="50" spans="2:17" x14ac:dyDescent="0.3">
      <c r="B50" s="4">
        <v>69</v>
      </c>
      <c r="C50" s="1">
        <v>86.67</v>
      </c>
      <c r="D50" s="1">
        <v>8.33</v>
      </c>
      <c r="E50" s="1">
        <v>4.58</v>
      </c>
      <c r="F50" s="1">
        <v>0</v>
      </c>
      <c r="G50" s="1">
        <v>0.42</v>
      </c>
      <c r="H50" s="7">
        <v>74.86</v>
      </c>
      <c r="I50" s="7">
        <v>21.39</v>
      </c>
      <c r="J50" s="7">
        <v>0.83</v>
      </c>
      <c r="K50" s="7">
        <v>0</v>
      </c>
      <c r="L50" s="7">
        <v>2.92</v>
      </c>
      <c r="M50" s="1">
        <v>78.06</v>
      </c>
      <c r="N50" s="1">
        <v>2.78</v>
      </c>
      <c r="O50" s="1">
        <v>18.190000000000001</v>
      </c>
      <c r="P50" s="1">
        <v>0.83</v>
      </c>
      <c r="Q50" s="1">
        <v>0.14000000000000001</v>
      </c>
    </row>
    <row r="51" spans="2:17" x14ac:dyDescent="0.3">
      <c r="B51" s="4">
        <v>71</v>
      </c>
      <c r="C51" s="1">
        <v>79.58</v>
      </c>
      <c r="D51" s="1">
        <v>13.19</v>
      </c>
      <c r="E51" s="1">
        <v>5.14</v>
      </c>
      <c r="F51" s="1">
        <v>0.28000000000000003</v>
      </c>
      <c r="G51" s="1">
        <v>1.81</v>
      </c>
      <c r="H51" s="7">
        <v>67.5</v>
      </c>
      <c r="I51" s="7">
        <v>23.89</v>
      </c>
      <c r="J51" s="7">
        <v>0.28000000000000003</v>
      </c>
      <c r="K51" s="7">
        <v>0</v>
      </c>
      <c r="L51" s="7">
        <v>8.33</v>
      </c>
      <c r="M51" s="1">
        <v>80.56</v>
      </c>
      <c r="N51" s="1">
        <v>7.78</v>
      </c>
      <c r="O51" s="1">
        <v>10.83</v>
      </c>
      <c r="P51" s="1">
        <v>0.28000000000000003</v>
      </c>
      <c r="Q51" s="1">
        <v>0.56000000000000005</v>
      </c>
    </row>
    <row r="52" spans="2:17" x14ac:dyDescent="0.3">
      <c r="B52" s="4">
        <v>72</v>
      </c>
      <c r="C52" s="1">
        <v>81.53</v>
      </c>
      <c r="D52" s="1">
        <v>11.67</v>
      </c>
      <c r="E52" s="1">
        <v>6.67</v>
      </c>
      <c r="F52" s="1">
        <v>0</v>
      </c>
      <c r="G52" s="1">
        <v>0.14000000000000001</v>
      </c>
      <c r="H52" s="7">
        <v>75.28</v>
      </c>
      <c r="I52" s="7">
        <v>19.170000000000002</v>
      </c>
      <c r="J52" s="7">
        <v>1.1100000000000001</v>
      </c>
      <c r="K52" s="7">
        <v>0</v>
      </c>
      <c r="L52" s="7">
        <v>4.4400000000000004</v>
      </c>
      <c r="M52" s="1">
        <v>75.83</v>
      </c>
      <c r="N52" s="1">
        <v>4.4400000000000004</v>
      </c>
      <c r="O52" s="1">
        <v>18.61</v>
      </c>
      <c r="P52" s="1">
        <v>1.1100000000000001</v>
      </c>
      <c r="Q52" s="1">
        <v>0</v>
      </c>
    </row>
    <row r="53" spans="2:17" x14ac:dyDescent="0.3">
      <c r="B53" s="4">
        <v>73</v>
      </c>
      <c r="C53" s="1">
        <v>83.47</v>
      </c>
      <c r="D53" s="1">
        <v>5.97</v>
      </c>
      <c r="E53" s="1">
        <v>10.56</v>
      </c>
      <c r="F53" s="1">
        <v>0</v>
      </c>
      <c r="G53" s="1">
        <v>0</v>
      </c>
      <c r="H53" s="7">
        <v>79.17</v>
      </c>
      <c r="I53" s="7">
        <v>19.170000000000002</v>
      </c>
      <c r="J53" s="7">
        <v>0.28000000000000003</v>
      </c>
      <c r="K53" s="7">
        <v>0</v>
      </c>
      <c r="L53" s="7">
        <v>1.39</v>
      </c>
      <c r="M53" s="1">
        <v>77.64</v>
      </c>
      <c r="N53" s="1">
        <v>1.39</v>
      </c>
      <c r="O53" s="1">
        <v>20.69</v>
      </c>
      <c r="P53" s="1">
        <v>0.28000000000000003</v>
      </c>
      <c r="Q53" s="1">
        <v>0</v>
      </c>
    </row>
    <row r="54" spans="2:17" x14ac:dyDescent="0.3">
      <c r="B54" s="4">
        <v>74</v>
      </c>
      <c r="C54" s="1">
        <v>87.08</v>
      </c>
      <c r="D54" s="1">
        <v>9.0299999999999994</v>
      </c>
      <c r="E54" s="1">
        <v>3.61</v>
      </c>
      <c r="F54" s="1">
        <v>0</v>
      </c>
      <c r="G54" s="1">
        <v>0.28000000000000003</v>
      </c>
      <c r="H54" s="7">
        <v>76.11</v>
      </c>
      <c r="I54" s="7">
        <v>20.56</v>
      </c>
      <c r="J54" s="7">
        <v>0.14000000000000001</v>
      </c>
      <c r="K54" s="7">
        <v>0</v>
      </c>
      <c r="L54" s="7">
        <v>3.19</v>
      </c>
      <c r="M54" s="1">
        <v>79.03</v>
      </c>
      <c r="N54" s="1">
        <v>3.19</v>
      </c>
      <c r="O54" s="1">
        <v>17.64</v>
      </c>
      <c r="P54" s="1">
        <v>0.14000000000000001</v>
      </c>
      <c r="Q54" s="1">
        <v>0</v>
      </c>
    </row>
    <row r="55" spans="2:17" x14ac:dyDescent="0.3">
      <c r="B55" s="4">
        <v>75</v>
      </c>
      <c r="C55" s="1">
        <v>80.14</v>
      </c>
      <c r="D55" s="1">
        <v>15.42</v>
      </c>
      <c r="E55" s="1">
        <v>2.92</v>
      </c>
      <c r="F55" s="1">
        <v>0</v>
      </c>
      <c r="G55" s="1">
        <v>1.53</v>
      </c>
      <c r="H55" s="7">
        <v>71.53</v>
      </c>
      <c r="I55" s="7">
        <v>22.78</v>
      </c>
      <c r="J55" s="7">
        <v>0.42</v>
      </c>
      <c r="K55" s="7">
        <v>0</v>
      </c>
      <c r="L55" s="7">
        <v>5.28</v>
      </c>
      <c r="M55" s="1">
        <v>81.25</v>
      </c>
      <c r="N55" s="1">
        <v>5</v>
      </c>
      <c r="O55" s="1">
        <v>13.06</v>
      </c>
      <c r="P55" s="1">
        <v>0.42</v>
      </c>
      <c r="Q55" s="1">
        <v>0.28000000000000003</v>
      </c>
    </row>
    <row r="57" spans="2:17" x14ac:dyDescent="0.3">
      <c r="B57" s="1"/>
      <c r="C57" s="5" t="s">
        <v>18</v>
      </c>
      <c r="D57" s="5"/>
      <c r="E57" s="5"/>
      <c r="F57" s="5"/>
      <c r="G57" s="5"/>
      <c r="H57" s="5" t="s">
        <v>19</v>
      </c>
      <c r="I57" s="5"/>
      <c r="J57" s="5"/>
      <c r="K57" s="5"/>
      <c r="L57" s="5"/>
      <c r="M57" s="5" t="s">
        <v>20</v>
      </c>
      <c r="N57" s="5"/>
      <c r="O57" s="5"/>
      <c r="P57" s="5"/>
      <c r="Q57" s="5"/>
    </row>
    <row r="58" spans="2:17" x14ac:dyDescent="0.3">
      <c r="B58" s="1" t="s">
        <v>15</v>
      </c>
      <c r="C58" s="3">
        <f>MIN(C4:C55)</f>
        <v>64.86</v>
      </c>
      <c r="D58" s="3">
        <f t="shared" ref="D58:Q58" si="0">MIN(D4:D55)</f>
        <v>2.78</v>
      </c>
      <c r="E58" s="3">
        <f t="shared" si="0"/>
        <v>0.42</v>
      </c>
      <c r="F58" s="3">
        <f t="shared" si="0"/>
        <v>0</v>
      </c>
      <c r="G58" s="3">
        <f t="shared" si="0"/>
        <v>0</v>
      </c>
      <c r="H58" s="6">
        <f t="shared" si="0"/>
        <v>60.14</v>
      </c>
      <c r="I58" s="6">
        <f t="shared" si="0"/>
        <v>9.0299999999999994</v>
      </c>
      <c r="J58" s="6">
        <f t="shared" si="0"/>
        <v>0</v>
      </c>
      <c r="K58" s="6">
        <f t="shared" si="0"/>
        <v>0</v>
      </c>
      <c r="L58" s="6">
        <f t="shared" si="0"/>
        <v>0.14000000000000001</v>
      </c>
      <c r="M58" s="3">
        <f t="shared" si="0"/>
        <v>64.44</v>
      </c>
      <c r="N58" s="3">
        <f t="shared" si="0"/>
        <v>0.14000000000000001</v>
      </c>
      <c r="O58" s="3">
        <f t="shared" si="0"/>
        <v>4.8600000000000003</v>
      </c>
      <c r="P58" s="3">
        <f t="shared" si="0"/>
        <v>0</v>
      </c>
      <c r="Q58" s="3">
        <f t="shared" si="0"/>
        <v>0</v>
      </c>
    </row>
    <row r="59" spans="2:17" x14ac:dyDescent="0.3">
      <c r="B59" s="1" t="s">
        <v>16</v>
      </c>
      <c r="C59" s="3">
        <f>MAX(C4:C55)</f>
        <v>89.72</v>
      </c>
      <c r="D59" s="3">
        <f t="shared" ref="D59:Q59" si="1">MAX(D4:D55)</f>
        <v>20.420000000000002</v>
      </c>
      <c r="E59" s="3">
        <f t="shared" si="1"/>
        <v>15.42</v>
      </c>
      <c r="F59" s="3">
        <f t="shared" si="1"/>
        <v>5</v>
      </c>
      <c r="G59" s="3">
        <f t="shared" si="1"/>
        <v>14.44</v>
      </c>
      <c r="H59" s="6">
        <f t="shared" si="1"/>
        <v>83.61</v>
      </c>
      <c r="I59" s="6">
        <f t="shared" si="1"/>
        <v>33.19</v>
      </c>
      <c r="J59" s="6">
        <f t="shared" si="1"/>
        <v>7.36</v>
      </c>
      <c r="K59" s="6">
        <f t="shared" si="1"/>
        <v>2.2200000000000002</v>
      </c>
      <c r="L59" s="6">
        <f t="shared" si="1"/>
        <v>20</v>
      </c>
      <c r="M59" s="3">
        <f t="shared" si="1"/>
        <v>89.86</v>
      </c>
      <c r="N59" s="3">
        <f t="shared" si="1"/>
        <v>15</v>
      </c>
      <c r="O59" s="3">
        <f t="shared" si="1"/>
        <v>26.94</v>
      </c>
      <c r="P59" s="3">
        <f t="shared" si="1"/>
        <v>8.06</v>
      </c>
      <c r="Q59" s="3">
        <f t="shared" si="1"/>
        <v>8.75</v>
      </c>
    </row>
    <row r="60" spans="2:17" x14ac:dyDescent="0.3">
      <c r="B60" s="1" t="s">
        <v>17</v>
      </c>
      <c r="C60" s="3">
        <f>AVERAGE(C4:C55)</f>
        <v>81.722500000000025</v>
      </c>
      <c r="D60" s="3">
        <f t="shared" ref="D60:Q60" si="2">AVERAGE(D4:D55)</f>
        <v>11.749807692307691</v>
      </c>
      <c r="E60" s="3">
        <f t="shared" si="2"/>
        <v>4.8648076923076919</v>
      </c>
      <c r="F60" s="3">
        <f t="shared" si="2"/>
        <v>0.41884615384615387</v>
      </c>
      <c r="G60" s="3">
        <f t="shared" si="2"/>
        <v>1.2450000000000001</v>
      </c>
      <c r="H60" s="6">
        <f t="shared" si="2"/>
        <v>71.306730769230796</v>
      </c>
      <c r="I60" s="6">
        <f t="shared" si="2"/>
        <v>23.107307692307693</v>
      </c>
      <c r="J60" s="6">
        <f t="shared" si="2"/>
        <v>0.84480769230769248</v>
      </c>
      <c r="K60" s="6">
        <f t="shared" si="2"/>
        <v>0.22692307692307695</v>
      </c>
      <c r="L60" s="6">
        <f t="shared" si="2"/>
        <v>4.5165384615384605</v>
      </c>
      <c r="M60" s="3">
        <f t="shared" si="2"/>
        <v>78.461538461538439</v>
      </c>
      <c r="N60" s="3">
        <f t="shared" si="2"/>
        <v>4.1588461538461523</v>
      </c>
      <c r="O60" s="3">
        <f t="shared" si="2"/>
        <v>15.950769230769232</v>
      </c>
      <c r="P60" s="3">
        <f t="shared" si="2"/>
        <v>1.0713461538461539</v>
      </c>
      <c r="Q60" s="3">
        <f t="shared" si="2"/>
        <v>0.3584615384615385</v>
      </c>
    </row>
    <row r="61" spans="2:17" x14ac:dyDescent="0.3">
      <c r="B61" s="1" t="s">
        <v>21</v>
      </c>
      <c r="C61" s="3">
        <f>MEDIAN(C4:C55)</f>
        <v>81.875</v>
      </c>
      <c r="D61" s="3">
        <f t="shared" ref="D61:Q61" si="3">MEDIAN(D4:D55)</f>
        <v>12.01</v>
      </c>
      <c r="E61" s="3">
        <f t="shared" si="3"/>
        <v>4.58</v>
      </c>
      <c r="F61" s="3">
        <f t="shared" si="3"/>
        <v>0</v>
      </c>
      <c r="G61" s="3">
        <f t="shared" si="3"/>
        <v>0.69</v>
      </c>
      <c r="H61" s="6">
        <f t="shared" si="3"/>
        <v>71.53</v>
      </c>
      <c r="I61" s="6">
        <f t="shared" si="3"/>
        <v>23.475000000000001</v>
      </c>
      <c r="J61" s="6">
        <f t="shared" si="3"/>
        <v>0.42</v>
      </c>
      <c r="K61" s="6">
        <f t="shared" si="3"/>
        <v>0</v>
      </c>
      <c r="L61" s="6">
        <f t="shared" si="3"/>
        <v>4.0999999999999996</v>
      </c>
      <c r="M61" s="3">
        <f t="shared" si="3"/>
        <v>78.75</v>
      </c>
      <c r="N61" s="3">
        <f t="shared" si="3"/>
        <v>3.96</v>
      </c>
      <c r="O61" s="3">
        <f t="shared" si="3"/>
        <v>15.835000000000001</v>
      </c>
      <c r="P61" s="3">
        <f t="shared" si="3"/>
        <v>0.83</v>
      </c>
      <c r="Q61" s="3">
        <f t="shared" si="3"/>
        <v>0</v>
      </c>
    </row>
  </sheetData>
  <mergeCells count="6">
    <mergeCell ref="C2:G2"/>
    <mergeCell ref="H2:L2"/>
    <mergeCell ref="M2:Q2"/>
    <mergeCell ref="C57:G57"/>
    <mergeCell ref="H57:L57"/>
    <mergeCell ref="M57:Q57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2023-05-04T01:11:12Z</dcterms:created>
  <dcterms:modified xsi:type="dcterms:W3CDTF">2023-05-04T06:15:57Z</dcterms:modified>
</cp:coreProperties>
</file>