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wpc\Notebooks\pred_sizing_directly\"/>
    </mc:Choice>
  </mc:AlternateContent>
  <xr:revisionPtr revIDLastSave="0" documentId="13_ncr:40009_{6C759868-52C9-4D1A-A6CE-8B560D6AA78A}" xr6:coauthVersionLast="47" xr6:coauthVersionMax="47" xr10:uidLastSave="{00000000-0000-0000-0000-000000000000}"/>
  <bookViews>
    <workbookView xWindow="-108" yWindow="-108" windowWidth="23256" windowHeight="13176"/>
  </bookViews>
  <sheets>
    <sheet name="mae" sheetId="1" r:id="rId1"/>
  </sheets>
  <definedNames>
    <definedName name="_xlchart.v1.0" hidden="1">mae!$B$4:$B$55</definedName>
    <definedName name="_xlchart.v1.1" hidden="1">mae!$G$3</definedName>
    <definedName name="_xlchart.v1.2" hidden="1">mae!$G$4:$G$55</definedName>
    <definedName name="_xlchart.v1.3" hidden="1">mae!$H$3</definedName>
    <definedName name="_xlchart.v1.4" hidden="1">mae!$H$4:$H$55</definedName>
    <definedName name="_xlchart.v1.5" hidden="1">mae!$I$3</definedName>
    <definedName name="_xlchart.v1.6" hidden="1">mae!$I$4:$I$55</definedName>
    <definedName name="_xlchart.v1.7" hidden="1">mae!$J$3</definedName>
    <definedName name="_xlchart.v1.8" hidden="1">mae!$J$4:$J$55</definedName>
  </definedNames>
  <calcPr calcId="0"/>
</workbook>
</file>

<file path=xl/calcChain.xml><?xml version="1.0" encoding="utf-8"?>
<calcChain xmlns="http://schemas.openxmlformats.org/spreadsheetml/2006/main">
  <c r="N7" i="1" l="1"/>
  <c r="O7" i="1"/>
  <c r="P7" i="1"/>
  <c r="M7" i="1"/>
  <c r="N6" i="1"/>
  <c r="O6" i="1"/>
  <c r="P6" i="1"/>
  <c r="M6" i="1"/>
  <c r="N5" i="1"/>
  <c r="O5" i="1"/>
  <c r="P5" i="1"/>
  <c r="M5" i="1"/>
  <c r="N4" i="1"/>
  <c r="O4" i="1"/>
  <c r="P4" i="1"/>
  <c r="M4" i="1"/>
</calcChain>
</file>

<file path=xl/sharedStrings.xml><?xml version="1.0" encoding="utf-8"?>
<sst xmlns="http://schemas.openxmlformats.org/spreadsheetml/2006/main" count="19" uniqueCount="14">
  <si>
    <t>Store ID</t>
  </si>
  <si>
    <t>N Hours</t>
  </si>
  <si>
    <t>N Hours Agg</t>
  </si>
  <si>
    <t>N Hours Train</t>
  </si>
  <si>
    <t>N Hours Test</t>
  </si>
  <si>
    <t>MAE</t>
  </si>
  <si>
    <t>RAW</t>
  </si>
  <si>
    <t>ROUND</t>
  </si>
  <si>
    <t>FLOOR</t>
  </si>
  <si>
    <t>CEIL</t>
  </si>
  <si>
    <t>Min</t>
  </si>
  <si>
    <t>Max</t>
  </si>
  <si>
    <t>Mean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</si>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</sst>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0" fontId="16" fillId="0" borderId="10" xfId="0" applyFont="1" applyBorder="1" applyAlignment="1">
      <alignment horizontal="center"/>
    </xf>
    <xf numFmtId="164" fontId="16" fillId="0" borderId="10" xfId="0" applyNumberFormat="1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164" fontId="0" fillId="0" borderId="10" xfId="0" applyNumberFormat="1" applyBorder="1"/>
    <xf numFmtId="164" fontId="0" fillId="0" borderId="10" xfId="0" applyNumberFormat="1" applyBorder="1" applyAlignment="1">
      <alignment horizontal="center"/>
    </xf>
    <xf numFmtId="0" fontId="16" fillId="0" borderId="10" xfId="0" applyFont="1" applyBorder="1"/>
    <xf numFmtId="0" fontId="0" fillId="0" borderId="10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Raw versus Rounding MAE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mae!$G$3</c:f>
              <c:strCache>
                <c:ptCount val="1"/>
                <c:pt idx="0">
                  <c:v>RAW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mae!$B$4:$B$55</c:f>
              <c:numCache>
                <c:formatCode>General</c:formatCode>
                <c:ptCount val="52"/>
                <c:pt idx="0">
                  <c:v>10</c:v>
                </c:pt>
                <c:pt idx="1">
                  <c:v>11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25</c:v>
                </c:pt>
                <c:pt idx="13">
                  <c:v>26</c:v>
                </c:pt>
                <c:pt idx="14">
                  <c:v>30</c:v>
                </c:pt>
                <c:pt idx="15">
                  <c:v>31</c:v>
                </c:pt>
                <c:pt idx="16">
                  <c:v>32</c:v>
                </c:pt>
                <c:pt idx="17">
                  <c:v>33</c:v>
                </c:pt>
                <c:pt idx="18">
                  <c:v>34</c:v>
                </c:pt>
                <c:pt idx="19">
                  <c:v>35</c:v>
                </c:pt>
                <c:pt idx="20">
                  <c:v>37</c:v>
                </c:pt>
                <c:pt idx="21">
                  <c:v>38</c:v>
                </c:pt>
                <c:pt idx="22">
                  <c:v>39</c:v>
                </c:pt>
                <c:pt idx="23">
                  <c:v>40</c:v>
                </c:pt>
                <c:pt idx="24">
                  <c:v>41</c:v>
                </c:pt>
                <c:pt idx="25">
                  <c:v>42</c:v>
                </c:pt>
                <c:pt idx="26">
                  <c:v>43</c:v>
                </c:pt>
                <c:pt idx="27">
                  <c:v>45</c:v>
                </c:pt>
                <c:pt idx="28">
                  <c:v>49</c:v>
                </c:pt>
                <c:pt idx="29">
                  <c:v>50</c:v>
                </c:pt>
                <c:pt idx="30">
                  <c:v>51</c:v>
                </c:pt>
                <c:pt idx="31">
                  <c:v>52</c:v>
                </c:pt>
                <c:pt idx="32">
                  <c:v>53</c:v>
                </c:pt>
                <c:pt idx="33">
                  <c:v>54</c:v>
                </c:pt>
                <c:pt idx="34">
                  <c:v>55</c:v>
                </c:pt>
                <c:pt idx="35">
                  <c:v>56</c:v>
                </c:pt>
                <c:pt idx="36">
                  <c:v>58</c:v>
                </c:pt>
                <c:pt idx="37">
                  <c:v>60</c:v>
                </c:pt>
                <c:pt idx="38">
                  <c:v>61</c:v>
                </c:pt>
                <c:pt idx="39">
                  <c:v>62</c:v>
                </c:pt>
                <c:pt idx="40">
                  <c:v>63</c:v>
                </c:pt>
                <c:pt idx="41">
                  <c:v>64</c:v>
                </c:pt>
                <c:pt idx="42">
                  <c:v>65</c:v>
                </c:pt>
                <c:pt idx="43">
                  <c:v>66</c:v>
                </c:pt>
                <c:pt idx="44">
                  <c:v>67</c:v>
                </c:pt>
                <c:pt idx="45">
                  <c:v>68</c:v>
                </c:pt>
                <c:pt idx="46">
                  <c:v>69</c:v>
                </c:pt>
                <c:pt idx="47">
                  <c:v>71</c:v>
                </c:pt>
                <c:pt idx="48">
                  <c:v>72</c:v>
                </c:pt>
                <c:pt idx="49">
                  <c:v>73</c:v>
                </c:pt>
                <c:pt idx="50">
                  <c:v>74</c:v>
                </c:pt>
                <c:pt idx="51">
                  <c:v>75</c:v>
                </c:pt>
              </c:numCache>
            </c:numRef>
          </c:cat>
          <c:val>
            <c:numRef>
              <c:f>mae!$G$4:$G$55</c:f>
              <c:numCache>
                <c:formatCode>0.000</c:formatCode>
                <c:ptCount val="52"/>
                <c:pt idx="0">
                  <c:v>0.21664232918729601</c:v>
                </c:pt>
                <c:pt idx="1">
                  <c:v>0.18026495606399701</c:v>
                </c:pt>
                <c:pt idx="2">
                  <c:v>0.22680493130856</c:v>
                </c:pt>
                <c:pt idx="3">
                  <c:v>0.161960859824685</c:v>
                </c:pt>
                <c:pt idx="4">
                  <c:v>0.181130742653864</c:v>
                </c:pt>
                <c:pt idx="5">
                  <c:v>0.212285093176073</c:v>
                </c:pt>
                <c:pt idx="6">
                  <c:v>0.15086108082468799</c:v>
                </c:pt>
                <c:pt idx="7">
                  <c:v>0.27921662479215598</c:v>
                </c:pt>
                <c:pt idx="8">
                  <c:v>0.28416354658797699</c:v>
                </c:pt>
                <c:pt idx="9">
                  <c:v>0.20985827996814599</c:v>
                </c:pt>
                <c:pt idx="10">
                  <c:v>0.17525700294654101</c:v>
                </c:pt>
                <c:pt idx="11">
                  <c:v>0.178409110702998</c:v>
                </c:pt>
                <c:pt idx="12">
                  <c:v>0.18974443390253601</c:v>
                </c:pt>
                <c:pt idx="13">
                  <c:v>0.26471914988780498</c:v>
                </c:pt>
                <c:pt idx="14">
                  <c:v>0.14065889220132</c:v>
                </c:pt>
                <c:pt idx="15">
                  <c:v>0.23312817237567801</c:v>
                </c:pt>
                <c:pt idx="16">
                  <c:v>0.18820227655571101</c:v>
                </c:pt>
                <c:pt idx="17">
                  <c:v>0.27018326594962899</c:v>
                </c:pt>
                <c:pt idx="18">
                  <c:v>0.22474036836854699</c:v>
                </c:pt>
                <c:pt idx="19">
                  <c:v>0.21197978895366201</c:v>
                </c:pt>
                <c:pt idx="20">
                  <c:v>0.43160801314764302</c:v>
                </c:pt>
                <c:pt idx="21">
                  <c:v>0.19240249665009099</c:v>
                </c:pt>
                <c:pt idx="22">
                  <c:v>0.26828342836854002</c:v>
                </c:pt>
                <c:pt idx="23">
                  <c:v>0.21866364883977299</c:v>
                </c:pt>
                <c:pt idx="24">
                  <c:v>0.245147260758491</c:v>
                </c:pt>
                <c:pt idx="25">
                  <c:v>0.22124899003232501</c:v>
                </c:pt>
                <c:pt idx="26">
                  <c:v>0.20190476588130901</c:v>
                </c:pt>
                <c:pt idx="27">
                  <c:v>0.20332484585913499</c:v>
                </c:pt>
                <c:pt idx="28">
                  <c:v>0.28503084940981399</c:v>
                </c:pt>
                <c:pt idx="29">
                  <c:v>0.19359822155719</c:v>
                </c:pt>
                <c:pt idx="30">
                  <c:v>0.24855594872278</c:v>
                </c:pt>
                <c:pt idx="31">
                  <c:v>0.32985839479328699</c:v>
                </c:pt>
                <c:pt idx="32">
                  <c:v>0.22462857361907701</c:v>
                </c:pt>
                <c:pt idx="33">
                  <c:v>0.248381621885535</c:v>
                </c:pt>
                <c:pt idx="34">
                  <c:v>0.21320966668964</c:v>
                </c:pt>
                <c:pt idx="35">
                  <c:v>0.169195743415886</c:v>
                </c:pt>
                <c:pt idx="36">
                  <c:v>0.193016860509542</c:v>
                </c:pt>
                <c:pt idx="37">
                  <c:v>0.21438861897059799</c:v>
                </c:pt>
                <c:pt idx="38">
                  <c:v>0.243814370480707</c:v>
                </c:pt>
                <c:pt idx="39">
                  <c:v>0.25261375011543802</c:v>
                </c:pt>
                <c:pt idx="40">
                  <c:v>0.22419683663881501</c:v>
                </c:pt>
                <c:pt idx="41">
                  <c:v>0.25268277130955502</c:v>
                </c:pt>
                <c:pt idx="42">
                  <c:v>0.25669379711844997</c:v>
                </c:pt>
                <c:pt idx="43">
                  <c:v>0.208306862097212</c:v>
                </c:pt>
                <c:pt idx="44">
                  <c:v>0.20549666200240299</c:v>
                </c:pt>
                <c:pt idx="45">
                  <c:v>0.62948015498099896</c:v>
                </c:pt>
                <c:pt idx="46">
                  <c:v>0.18799426721066101</c:v>
                </c:pt>
                <c:pt idx="47">
                  <c:v>0.25119084119171797</c:v>
                </c:pt>
                <c:pt idx="48">
                  <c:v>0.212515227021877</c:v>
                </c:pt>
                <c:pt idx="49">
                  <c:v>0.18540052834294601</c:v>
                </c:pt>
                <c:pt idx="50">
                  <c:v>0.156457018193639</c:v>
                </c:pt>
                <c:pt idx="51">
                  <c:v>0.229772269637982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30-4E9F-B914-F76F67072465}"/>
            </c:ext>
          </c:extLst>
        </c:ser>
        <c:ser>
          <c:idx val="1"/>
          <c:order val="1"/>
          <c:tx>
            <c:strRef>
              <c:f>mae!$H$3</c:f>
              <c:strCache>
                <c:ptCount val="1"/>
                <c:pt idx="0">
                  <c:v>ROUND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mae!$H$4:$H$55</c:f>
              <c:numCache>
                <c:formatCode>0.000</c:formatCode>
                <c:ptCount val="52"/>
                <c:pt idx="0">
                  <c:v>0.17777777777777701</c:v>
                </c:pt>
                <c:pt idx="1">
                  <c:v>0.147222222222222</c:v>
                </c:pt>
                <c:pt idx="2">
                  <c:v>0.2</c:v>
                </c:pt>
                <c:pt idx="3">
                  <c:v>0.122222222222222</c:v>
                </c:pt>
                <c:pt idx="4">
                  <c:v>0.12361111111111101</c:v>
                </c:pt>
                <c:pt idx="5">
                  <c:v>0.180555555555555</c:v>
                </c:pt>
                <c:pt idx="6">
                  <c:v>0.11527777777777699</c:v>
                </c:pt>
                <c:pt idx="7">
                  <c:v>0.251388888888888</c:v>
                </c:pt>
                <c:pt idx="8">
                  <c:v>0.26250000000000001</c:v>
                </c:pt>
                <c:pt idx="9">
                  <c:v>0.18333333333333299</c:v>
                </c:pt>
                <c:pt idx="10">
                  <c:v>0.13611111111111099</c:v>
                </c:pt>
                <c:pt idx="11">
                  <c:v>0.140277777777777</c:v>
                </c:pt>
                <c:pt idx="12">
                  <c:v>0.15833333333333299</c:v>
                </c:pt>
                <c:pt idx="13">
                  <c:v>0.24861111111111101</c:v>
                </c:pt>
                <c:pt idx="14">
                  <c:v>0.10416666666666601</c:v>
                </c:pt>
                <c:pt idx="15">
                  <c:v>0.204166666666666</c:v>
                </c:pt>
                <c:pt idx="16">
                  <c:v>0.15972222222222199</c:v>
                </c:pt>
                <c:pt idx="17">
                  <c:v>0.23888888888888801</c:v>
                </c:pt>
                <c:pt idx="18">
                  <c:v>0.204166666666666</c:v>
                </c:pt>
                <c:pt idx="19">
                  <c:v>0.19861111111111099</c:v>
                </c:pt>
                <c:pt idx="20">
                  <c:v>0.41805555555555501</c:v>
                </c:pt>
                <c:pt idx="21">
                  <c:v>0.179166666666666</c:v>
                </c:pt>
                <c:pt idx="22">
                  <c:v>0.23888888888888801</c:v>
                </c:pt>
                <c:pt idx="23">
                  <c:v>0.17638888888888801</c:v>
                </c:pt>
                <c:pt idx="24">
                  <c:v>0.234722222222222</c:v>
                </c:pt>
                <c:pt idx="25">
                  <c:v>0.19861111111111099</c:v>
                </c:pt>
                <c:pt idx="26">
                  <c:v>0.15972222222222199</c:v>
                </c:pt>
                <c:pt idx="27">
                  <c:v>0.156944444444444</c:v>
                </c:pt>
                <c:pt idx="28">
                  <c:v>0.25555555555555498</c:v>
                </c:pt>
                <c:pt idx="29">
                  <c:v>0.14444444444444399</c:v>
                </c:pt>
                <c:pt idx="30">
                  <c:v>0.22916666666666599</c:v>
                </c:pt>
                <c:pt idx="31">
                  <c:v>0.31111111111111101</c:v>
                </c:pt>
                <c:pt idx="32">
                  <c:v>0.2</c:v>
                </c:pt>
                <c:pt idx="33">
                  <c:v>0.226388888888888</c:v>
                </c:pt>
                <c:pt idx="34">
                  <c:v>0.163888888888888</c:v>
                </c:pt>
                <c:pt idx="35">
                  <c:v>0.11111111111111099</c:v>
                </c:pt>
                <c:pt idx="36">
                  <c:v>0.15138888888888799</c:v>
                </c:pt>
                <c:pt idx="37">
                  <c:v>0.17361111111111099</c:v>
                </c:pt>
                <c:pt idx="38">
                  <c:v>0.211111111111111</c:v>
                </c:pt>
                <c:pt idx="39">
                  <c:v>0.23888888888888801</c:v>
                </c:pt>
                <c:pt idx="40">
                  <c:v>0.18333333333333299</c:v>
                </c:pt>
                <c:pt idx="41">
                  <c:v>0.21388888888888799</c:v>
                </c:pt>
                <c:pt idx="42">
                  <c:v>0.234722222222222</c:v>
                </c:pt>
                <c:pt idx="43">
                  <c:v>0.195833333333333</c:v>
                </c:pt>
                <c:pt idx="44">
                  <c:v>0.18194444444444399</c:v>
                </c:pt>
                <c:pt idx="45">
                  <c:v>0.625</c:v>
                </c:pt>
                <c:pt idx="46">
                  <c:v>0.14444444444444399</c:v>
                </c:pt>
                <c:pt idx="47">
                  <c:v>0.226388888888888</c:v>
                </c:pt>
                <c:pt idx="48">
                  <c:v>0.17499999999999999</c:v>
                </c:pt>
                <c:pt idx="49">
                  <c:v>0.16111111111111101</c:v>
                </c:pt>
                <c:pt idx="50">
                  <c:v>0.13055555555555501</c:v>
                </c:pt>
                <c:pt idx="51">
                  <c:v>0.21666666666666601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30-4E9F-B914-F76F67072465}"/>
            </c:ext>
          </c:extLst>
        </c:ser>
        <c:ser>
          <c:idx val="2"/>
          <c:order val="2"/>
          <c:tx>
            <c:strRef>
              <c:f>mae!$I$3</c:f>
              <c:strCache>
                <c:ptCount val="1"/>
                <c:pt idx="0">
                  <c:v>FLOOR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mae!$I$4:$I$55</c:f>
              <c:numCache>
                <c:formatCode>0.000</c:formatCode>
                <c:ptCount val="52"/>
                <c:pt idx="0">
                  <c:v>0.32361111111111102</c:v>
                </c:pt>
                <c:pt idx="1">
                  <c:v>0.243055555555555</c:v>
                </c:pt>
                <c:pt idx="2">
                  <c:v>0.29305555555555501</c:v>
                </c:pt>
                <c:pt idx="3">
                  <c:v>0.28472222222222199</c:v>
                </c:pt>
                <c:pt idx="4">
                  <c:v>0.241666666666666</c:v>
                </c:pt>
                <c:pt idx="5">
                  <c:v>0.32500000000000001</c:v>
                </c:pt>
                <c:pt idx="6">
                  <c:v>0.234722222222222</c:v>
                </c:pt>
                <c:pt idx="7">
                  <c:v>0.40833333333333299</c:v>
                </c:pt>
                <c:pt idx="8">
                  <c:v>0.44166666666666599</c:v>
                </c:pt>
                <c:pt idx="9">
                  <c:v>0.35277777777777702</c:v>
                </c:pt>
                <c:pt idx="10">
                  <c:v>0.34583333333333299</c:v>
                </c:pt>
                <c:pt idx="11">
                  <c:v>0.29027777777777702</c:v>
                </c:pt>
                <c:pt idx="12">
                  <c:v>0.29027777777777702</c:v>
                </c:pt>
                <c:pt idx="13">
                  <c:v>0.41527777777777702</c:v>
                </c:pt>
                <c:pt idx="14">
                  <c:v>0.19861111111111099</c:v>
                </c:pt>
                <c:pt idx="15">
                  <c:v>0.36388888888888798</c:v>
                </c:pt>
                <c:pt idx="16">
                  <c:v>0.34027777777777701</c:v>
                </c:pt>
                <c:pt idx="17">
                  <c:v>0.36388888888888798</c:v>
                </c:pt>
                <c:pt idx="18">
                  <c:v>0.34722222222222199</c:v>
                </c:pt>
                <c:pt idx="19">
                  <c:v>0.3125</c:v>
                </c:pt>
                <c:pt idx="20">
                  <c:v>0.58194444444444404</c:v>
                </c:pt>
                <c:pt idx="21">
                  <c:v>0.27361111111111103</c:v>
                </c:pt>
                <c:pt idx="22">
                  <c:v>0.34722222222222199</c:v>
                </c:pt>
                <c:pt idx="23">
                  <c:v>0.36666666666666597</c:v>
                </c:pt>
                <c:pt idx="24">
                  <c:v>0.37916666666666599</c:v>
                </c:pt>
                <c:pt idx="25">
                  <c:v>0.31111111111111101</c:v>
                </c:pt>
                <c:pt idx="26">
                  <c:v>0.327777777777777</c:v>
                </c:pt>
                <c:pt idx="27">
                  <c:v>0.36249999999999999</c:v>
                </c:pt>
                <c:pt idx="28">
                  <c:v>0.327777777777777</c:v>
                </c:pt>
                <c:pt idx="29">
                  <c:v>0.25555555555555498</c:v>
                </c:pt>
                <c:pt idx="30">
                  <c:v>0.36249999999999999</c:v>
                </c:pt>
                <c:pt idx="31">
                  <c:v>0.31111111111111101</c:v>
                </c:pt>
                <c:pt idx="32">
                  <c:v>0.297222222222222</c:v>
                </c:pt>
                <c:pt idx="33">
                  <c:v>0.37777777777777699</c:v>
                </c:pt>
                <c:pt idx="34">
                  <c:v>0.33611111111111103</c:v>
                </c:pt>
                <c:pt idx="35">
                  <c:v>0.32638888888888801</c:v>
                </c:pt>
                <c:pt idx="36">
                  <c:v>0.36805555555555503</c:v>
                </c:pt>
                <c:pt idx="37">
                  <c:v>0.343055555555555</c:v>
                </c:pt>
                <c:pt idx="38">
                  <c:v>0.38194444444444398</c:v>
                </c:pt>
                <c:pt idx="39">
                  <c:v>0.34583333333333299</c:v>
                </c:pt>
                <c:pt idx="40">
                  <c:v>0.44027777777777699</c:v>
                </c:pt>
                <c:pt idx="41">
                  <c:v>0.46527777777777701</c:v>
                </c:pt>
                <c:pt idx="42">
                  <c:v>0.33472222222222198</c:v>
                </c:pt>
                <c:pt idx="43">
                  <c:v>0.28333333333333299</c:v>
                </c:pt>
                <c:pt idx="44">
                  <c:v>0.21388888888888799</c:v>
                </c:pt>
                <c:pt idx="45">
                  <c:v>0.7</c:v>
                </c:pt>
                <c:pt idx="46">
                  <c:v>0.30555555555555503</c:v>
                </c:pt>
                <c:pt idx="47">
                  <c:v>0.40138888888888802</c:v>
                </c:pt>
                <c:pt idx="48">
                  <c:v>0.28888888888888797</c:v>
                </c:pt>
                <c:pt idx="49">
                  <c:v>0.22500000000000001</c:v>
                </c:pt>
                <c:pt idx="50">
                  <c:v>0.209722222222222</c:v>
                </c:pt>
                <c:pt idx="51">
                  <c:v>0.33611111111111103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30-4E9F-B914-F76F67072465}"/>
            </c:ext>
          </c:extLst>
        </c:ser>
        <c:ser>
          <c:idx val="3"/>
          <c:order val="3"/>
          <c:tx>
            <c:strRef>
              <c:f>mae!$J$3</c:f>
              <c:strCache>
                <c:ptCount val="1"/>
                <c:pt idx="0">
                  <c:v>CEIL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mae!$J$4:$J$55</c:f>
              <c:numCache>
                <c:formatCode>0.000</c:formatCode>
                <c:ptCount val="52"/>
                <c:pt idx="0">
                  <c:v>0.23888888888888801</c:v>
                </c:pt>
                <c:pt idx="1">
                  <c:v>0.25694444444444398</c:v>
                </c:pt>
                <c:pt idx="2">
                  <c:v>0.27083333333333298</c:v>
                </c:pt>
                <c:pt idx="3">
                  <c:v>0.19027777777777699</c:v>
                </c:pt>
                <c:pt idx="4">
                  <c:v>0.29166666666666602</c:v>
                </c:pt>
                <c:pt idx="5">
                  <c:v>0.211111111111111</c:v>
                </c:pt>
                <c:pt idx="6">
                  <c:v>0.243055555555555</c:v>
                </c:pt>
                <c:pt idx="7">
                  <c:v>0.25277777777777699</c:v>
                </c:pt>
                <c:pt idx="8">
                  <c:v>0.26944444444444399</c:v>
                </c:pt>
                <c:pt idx="9">
                  <c:v>0.23888888888888801</c:v>
                </c:pt>
                <c:pt idx="10">
                  <c:v>0.17638888888888801</c:v>
                </c:pt>
                <c:pt idx="11">
                  <c:v>0.19861111111111099</c:v>
                </c:pt>
                <c:pt idx="12">
                  <c:v>0.19305555555555501</c:v>
                </c:pt>
                <c:pt idx="13">
                  <c:v>0.179166666666666</c:v>
                </c:pt>
                <c:pt idx="14">
                  <c:v>0.27083333333333298</c:v>
                </c:pt>
                <c:pt idx="15">
                  <c:v>0.19166666666666601</c:v>
                </c:pt>
                <c:pt idx="16">
                  <c:v>0.106944444444444</c:v>
                </c:pt>
                <c:pt idx="17">
                  <c:v>0.27777777777777701</c:v>
                </c:pt>
                <c:pt idx="18">
                  <c:v>0.202777777777777</c:v>
                </c:pt>
                <c:pt idx="19">
                  <c:v>0.19027777777777699</c:v>
                </c:pt>
                <c:pt idx="20">
                  <c:v>0.32361111111111102</c:v>
                </c:pt>
                <c:pt idx="21">
                  <c:v>0.22916666666666599</c:v>
                </c:pt>
                <c:pt idx="22">
                  <c:v>0.280555555555555</c:v>
                </c:pt>
                <c:pt idx="23">
                  <c:v>0.22222222222222199</c:v>
                </c:pt>
                <c:pt idx="24">
                  <c:v>0.165277777777777</c:v>
                </c:pt>
                <c:pt idx="25">
                  <c:v>0.19305555555555501</c:v>
                </c:pt>
                <c:pt idx="26">
                  <c:v>0.20555555555555499</c:v>
                </c:pt>
                <c:pt idx="27">
                  <c:v>0.170833333333333</c:v>
                </c:pt>
                <c:pt idx="28">
                  <c:v>0.32500000000000001</c:v>
                </c:pt>
                <c:pt idx="29">
                  <c:v>0.24444444444444399</c:v>
                </c:pt>
                <c:pt idx="30">
                  <c:v>0.20694444444444399</c:v>
                </c:pt>
                <c:pt idx="31">
                  <c:v>0.405555555555555</c:v>
                </c:pt>
                <c:pt idx="32">
                  <c:v>0.241666666666666</c:v>
                </c:pt>
                <c:pt idx="33">
                  <c:v>0.21249999999999999</c:v>
                </c:pt>
                <c:pt idx="34">
                  <c:v>0.266666666666666</c:v>
                </c:pt>
                <c:pt idx="35">
                  <c:v>0.21249999999999999</c:v>
                </c:pt>
                <c:pt idx="36">
                  <c:v>0.148611111111111</c:v>
                </c:pt>
                <c:pt idx="37">
                  <c:v>0.24583333333333299</c:v>
                </c:pt>
                <c:pt idx="38">
                  <c:v>0.18472222222222201</c:v>
                </c:pt>
                <c:pt idx="39">
                  <c:v>0.24861111111111101</c:v>
                </c:pt>
                <c:pt idx="40">
                  <c:v>0.165277777777777</c:v>
                </c:pt>
                <c:pt idx="41">
                  <c:v>0.15138888888888799</c:v>
                </c:pt>
                <c:pt idx="42">
                  <c:v>0.27083333333333298</c:v>
                </c:pt>
                <c:pt idx="43">
                  <c:v>0.21666666666666601</c:v>
                </c:pt>
                <c:pt idx="44">
                  <c:v>0.26111111111111102</c:v>
                </c:pt>
                <c:pt idx="45">
                  <c:v>0.60416666666666596</c:v>
                </c:pt>
                <c:pt idx="46">
                  <c:v>0.21388888888888799</c:v>
                </c:pt>
                <c:pt idx="47">
                  <c:v>0.19305555555555501</c:v>
                </c:pt>
                <c:pt idx="48">
                  <c:v>0.23611111111111099</c:v>
                </c:pt>
                <c:pt idx="49">
                  <c:v>0.21527777777777701</c:v>
                </c:pt>
                <c:pt idx="50">
                  <c:v>0.25555555555555498</c:v>
                </c:pt>
                <c:pt idx="51">
                  <c:v>0.20138888888888801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330-4E9F-B914-F76F670724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631184"/>
        <c:axId val="77013280"/>
      </c:lineChart>
      <c:catAx>
        <c:axId val="188631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Store</a:t>
                </a:r>
                <a:r>
                  <a:rPr lang="en-GB" baseline="0"/>
                  <a:t> Id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13280"/>
        <c:crosses val="autoZero"/>
        <c:auto val="1"/>
        <c:lblAlgn val="ctr"/>
        <c:lblOffset val="100"/>
        <c:noMultiLvlLbl val="0"/>
      </c:catAx>
      <c:valAx>
        <c:axId val="7701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MAE</a:t>
                </a:r>
                <a:r>
                  <a:rPr lang="en-GB" baseline="0"/>
                  <a:t> %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31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Raw versus Rounding MAE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mae!$G$3</c:f>
              <c:strCache>
                <c:ptCount val="1"/>
                <c:pt idx="0">
                  <c:v>RAW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mae!$B$4:$B$55</c:f>
              <c:numCache>
                <c:formatCode>General</c:formatCode>
                <c:ptCount val="52"/>
                <c:pt idx="0">
                  <c:v>10</c:v>
                </c:pt>
                <c:pt idx="1">
                  <c:v>11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25</c:v>
                </c:pt>
                <c:pt idx="13">
                  <c:v>26</c:v>
                </c:pt>
                <c:pt idx="14">
                  <c:v>30</c:v>
                </c:pt>
                <c:pt idx="15">
                  <c:v>31</c:v>
                </c:pt>
                <c:pt idx="16">
                  <c:v>32</c:v>
                </c:pt>
                <c:pt idx="17">
                  <c:v>33</c:v>
                </c:pt>
                <c:pt idx="18">
                  <c:v>34</c:v>
                </c:pt>
                <c:pt idx="19">
                  <c:v>35</c:v>
                </c:pt>
                <c:pt idx="20">
                  <c:v>37</c:v>
                </c:pt>
                <c:pt idx="21">
                  <c:v>38</c:v>
                </c:pt>
                <c:pt idx="22">
                  <c:v>39</c:v>
                </c:pt>
                <c:pt idx="23">
                  <c:v>40</c:v>
                </c:pt>
                <c:pt idx="24">
                  <c:v>41</c:v>
                </c:pt>
                <c:pt idx="25">
                  <c:v>42</c:v>
                </c:pt>
                <c:pt idx="26">
                  <c:v>43</c:v>
                </c:pt>
                <c:pt idx="27">
                  <c:v>45</c:v>
                </c:pt>
                <c:pt idx="28">
                  <c:v>49</c:v>
                </c:pt>
                <c:pt idx="29">
                  <c:v>50</c:v>
                </c:pt>
                <c:pt idx="30">
                  <c:v>51</c:v>
                </c:pt>
                <c:pt idx="31">
                  <c:v>52</c:v>
                </c:pt>
                <c:pt idx="32">
                  <c:v>53</c:v>
                </c:pt>
                <c:pt idx="33">
                  <c:v>54</c:v>
                </c:pt>
                <c:pt idx="34">
                  <c:v>55</c:v>
                </c:pt>
                <c:pt idx="35">
                  <c:v>56</c:v>
                </c:pt>
                <c:pt idx="36">
                  <c:v>58</c:v>
                </c:pt>
                <c:pt idx="37">
                  <c:v>60</c:v>
                </c:pt>
                <c:pt idx="38">
                  <c:v>61</c:v>
                </c:pt>
                <c:pt idx="39">
                  <c:v>62</c:v>
                </c:pt>
                <c:pt idx="40">
                  <c:v>63</c:v>
                </c:pt>
                <c:pt idx="41">
                  <c:v>64</c:v>
                </c:pt>
                <c:pt idx="42">
                  <c:v>65</c:v>
                </c:pt>
                <c:pt idx="43">
                  <c:v>66</c:v>
                </c:pt>
                <c:pt idx="44">
                  <c:v>67</c:v>
                </c:pt>
                <c:pt idx="45">
                  <c:v>68</c:v>
                </c:pt>
                <c:pt idx="46">
                  <c:v>69</c:v>
                </c:pt>
                <c:pt idx="47">
                  <c:v>71</c:v>
                </c:pt>
                <c:pt idx="48">
                  <c:v>72</c:v>
                </c:pt>
                <c:pt idx="49">
                  <c:v>73</c:v>
                </c:pt>
                <c:pt idx="50">
                  <c:v>74</c:v>
                </c:pt>
                <c:pt idx="51">
                  <c:v>75</c:v>
                </c:pt>
              </c:numCache>
            </c:numRef>
          </c:cat>
          <c:val>
            <c:numRef>
              <c:f>mae!$G$4:$G$55</c:f>
              <c:numCache>
                <c:formatCode>0.000</c:formatCode>
                <c:ptCount val="52"/>
                <c:pt idx="0">
                  <c:v>0.21664232918729601</c:v>
                </c:pt>
                <c:pt idx="1">
                  <c:v>0.18026495606399701</c:v>
                </c:pt>
                <c:pt idx="2">
                  <c:v>0.22680493130856</c:v>
                </c:pt>
                <c:pt idx="3">
                  <c:v>0.161960859824685</c:v>
                </c:pt>
                <c:pt idx="4">
                  <c:v>0.181130742653864</c:v>
                </c:pt>
                <c:pt idx="5">
                  <c:v>0.212285093176073</c:v>
                </c:pt>
                <c:pt idx="6">
                  <c:v>0.15086108082468799</c:v>
                </c:pt>
                <c:pt idx="7">
                  <c:v>0.27921662479215598</c:v>
                </c:pt>
                <c:pt idx="8">
                  <c:v>0.28416354658797699</c:v>
                </c:pt>
                <c:pt idx="9">
                  <c:v>0.20985827996814599</c:v>
                </c:pt>
                <c:pt idx="10">
                  <c:v>0.17525700294654101</c:v>
                </c:pt>
                <c:pt idx="11">
                  <c:v>0.178409110702998</c:v>
                </c:pt>
                <c:pt idx="12">
                  <c:v>0.18974443390253601</c:v>
                </c:pt>
                <c:pt idx="13">
                  <c:v>0.26471914988780498</c:v>
                </c:pt>
                <c:pt idx="14">
                  <c:v>0.14065889220132</c:v>
                </c:pt>
                <c:pt idx="15">
                  <c:v>0.23312817237567801</c:v>
                </c:pt>
                <c:pt idx="16">
                  <c:v>0.18820227655571101</c:v>
                </c:pt>
                <c:pt idx="17">
                  <c:v>0.27018326594962899</c:v>
                </c:pt>
                <c:pt idx="18">
                  <c:v>0.22474036836854699</c:v>
                </c:pt>
                <c:pt idx="19">
                  <c:v>0.21197978895366201</c:v>
                </c:pt>
                <c:pt idx="20">
                  <c:v>0.43160801314764302</c:v>
                </c:pt>
                <c:pt idx="21">
                  <c:v>0.19240249665009099</c:v>
                </c:pt>
                <c:pt idx="22">
                  <c:v>0.26828342836854002</c:v>
                </c:pt>
                <c:pt idx="23">
                  <c:v>0.21866364883977299</c:v>
                </c:pt>
                <c:pt idx="24">
                  <c:v>0.245147260758491</c:v>
                </c:pt>
                <c:pt idx="25">
                  <c:v>0.22124899003232501</c:v>
                </c:pt>
                <c:pt idx="26">
                  <c:v>0.20190476588130901</c:v>
                </c:pt>
                <c:pt idx="27">
                  <c:v>0.20332484585913499</c:v>
                </c:pt>
                <c:pt idx="28">
                  <c:v>0.28503084940981399</c:v>
                </c:pt>
                <c:pt idx="29">
                  <c:v>0.19359822155719</c:v>
                </c:pt>
                <c:pt idx="30">
                  <c:v>0.24855594872278</c:v>
                </c:pt>
                <c:pt idx="31">
                  <c:v>0.32985839479328699</c:v>
                </c:pt>
                <c:pt idx="32">
                  <c:v>0.22462857361907701</c:v>
                </c:pt>
                <c:pt idx="33">
                  <c:v>0.248381621885535</c:v>
                </c:pt>
                <c:pt idx="34">
                  <c:v>0.21320966668964</c:v>
                </c:pt>
                <c:pt idx="35">
                  <c:v>0.169195743415886</c:v>
                </c:pt>
                <c:pt idx="36">
                  <c:v>0.193016860509542</c:v>
                </c:pt>
                <c:pt idx="37">
                  <c:v>0.21438861897059799</c:v>
                </c:pt>
                <c:pt idx="38">
                  <c:v>0.243814370480707</c:v>
                </c:pt>
                <c:pt idx="39">
                  <c:v>0.25261375011543802</c:v>
                </c:pt>
                <c:pt idx="40">
                  <c:v>0.22419683663881501</c:v>
                </c:pt>
                <c:pt idx="41">
                  <c:v>0.25268277130955502</c:v>
                </c:pt>
                <c:pt idx="42">
                  <c:v>0.25669379711844997</c:v>
                </c:pt>
                <c:pt idx="43">
                  <c:v>0.208306862097212</c:v>
                </c:pt>
                <c:pt idx="44">
                  <c:v>0.20549666200240299</c:v>
                </c:pt>
                <c:pt idx="45">
                  <c:v>0.62948015498099896</c:v>
                </c:pt>
                <c:pt idx="46">
                  <c:v>0.18799426721066101</c:v>
                </c:pt>
                <c:pt idx="47">
                  <c:v>0.25119084119171797</c:v>
                </c:pt>
                <c:pt idx="48">
                  <c:v>0.212515227021877</c:v>
                </c:pt>
                <c:pt idx="49">
                  <c:v>0.18540052834294601</c:v>
                </c:pt>
                <c:pt idx="50">
                  <c:v>0.156457018193639</c:v>
                </c:pt>
                <c:pt idx="51">
                  <c:v>0.229772269637982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C2-4521-A692-74F6C5428BD5}"/>
            </c:ext>
          </c:extLst>
        </c:ser>
        <c:ser>
          <c:idx val="1"/>
          <c:order val="1"/>
          <c:tx>
            <c:strRef>
              <c:f>mae!$H$3</c:f>
              <c:strCache>
                <c:ptCount val="1"/>
                <c:pt idx="0">
                  <c:v>ROUND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mae!$H$4:$H$55</c:f>
              <c:numCache>
                <c:formatCode>0.000</c:formatCode>
                <c:ptCount val="52"/>
                <c:pt idx="0">
                  <c:v>0.17777777777777701</c:v>
                </c:pt>
                <c:pt idx="1">
                  <c:v>0.147222222222222</c:v>
                </c:pt>
                <c:pt idx="2">
                  <c:v>0.2</c:v>
                </c:pt>
                <c:pt idx="3">
                  <c:v>0.122222222222222</c:v>
                </c:pt>
                <c:pt idx="4">
                  <c:v>0.12361111111111101</c:v>
                </c:pt>
                <c:pt idx="5">
                  <c:v>0.180555555555555</c:v>
                </c:pt>
                <c:pt idx="6">
                  <c:v>0.11527777777777699</c:v>
                </c:pt>
                <c:pt idx="7">
                  <c:v>0.251388888888888</c:v>
                </c:pt>
                <c:pt idx="8">
                  <c:v>0.26250000000000001</c:v>
                </c:pt>
                <c:pt idx="9">
                  <c:v>0.18333333333333299</c:v>
                </c:pt>
                <c:pt idx="10">
                  <c:v>0.13611111111111099</c:v>
                </c:pt>
                <c:pt idx="11">
                  <c:v>0.140277777777777</c:v>
                </c:pt>
                <c:pt idx="12">
                  <c:v>0.15833333333333299</c:v>
                </c:pt>
                <c:pt idx="13">
                  <c:v>0.24861111111111101</c:v>
                </c:pt>
                <c:pt idx="14">
                  <c:v>0.10416666666666601</c:v>
                </c:pt>
                <c:pt idx="15">
                  <c:v>0.204166666666666</c:v>
                </c:pt>
                <c:pt idx="16">
                  <c:v>0.15972222222222199</c:v>
                </c:pt>
                <c:pt idx="17">
                  <c:v>0.23888888888888801</c:v>
                </c:pt>
                <c:pt idx="18">
                  <c:v>0.204166666666666</c:v>
                </c:pt>
                <c:pt idx="19">
                  <c:v>0.19861111111111099</c:v>
                </c:pt>
                <c:pt idx="20">
                  <c:v>0.41805555555555501</c:v>
                </c:pt>
                <c:pt idx="21">
                  <c:v>0.179166666666666</c:v>
                </c:pt>
                <c:pt idx="22">
                  <c:v>0.23888888888888801</c:v>
                </c:pt>
                <c:pt idx="23">
                  <c:v>0.17638888888888801</c:v>
                </c:pt>
                <c:pt idx="24">
                  <c:v>0.234722222222222</c:v>
                </c:pt>
                <c:pt idx="25">
                  <c:v>0.19861111111111099</c:v>
                </c:pt>
                <c:pt idx="26">
                  <c:v>0.15972222222222199</c:v>
                </c:pt>
                <c:pt idx="27">
                  <c:v>0.156944444444444</c:v>
                </c:pt>
                <c:pt idx="28">
                  <c:v>0.25555555555555498</c:v>
                </c:pt>
                <c:pt idx="29">
                  <c:v>0.14444444444444399</c:v>
                </c:pt>
                <c:pt idx="30">
                  <c:v>0.22916666666666599</c:v>
                </c:pt>
                <c:pt idx="31">
                  <c:v>0.31111111111111101</c:v>
                </c:pt>
                <c:pt idx="32">
                  <c:v>0.2</c:v>
                </c:pt>
                <c:pt idx="33">
                  <c:v>0.226388888888888</c:v>
                </c:pt>
                <c:pt idx="34">
                  <c:v>0.163888888888888</c:v>
                </c:pt>
                <c:pt idx="35">
                  <c:v>0.11111111111111099</c:v>
                </c:pt>
                <c:pt idx="36">
                  <c:v>0.15138888888888799</c:v>
                </c:pt>
                <c:pt idx="37">
                  <c:v>0.17361111111111099</c:v>
                </c:pt>
                <c:pt idx="38">
                  <c:v>0.211111111111111</c:v>
                </c:pt>
                <c:pt idx="39">
                  <c:v>0.23888888888888801</c:v>
                </c:pt>
                <c:pt idx="40">
                  <c:v>0.18333333333333299</c:v>
                </c:pt>
                <c:pt idx="41">
                  <c:v>0.21388888888888799</c:v>
                </c:pt>
                <c:pt idx="42">
                  <c:v>0.234722222222222</c:v>
                </c:pt>
                <c:pt idx="43">
                  <c:v>0.195833333333333</c:v>
                </c:pt>
                <c:pt idx="44">
                  <c:v>0.18194444444444399</c:v>
                </c:pt>
                <c:pt idx="45">
                  <c:v>0.625</c:v>
                </c:pt>
                <c:pt idx="46">
                  <c:v>0.14444444444444399</c:v>
                </c:pt>
                <c:pt idx="47">
                  <c:v>0.226388888888888</c:v>
                </c:pt>
                <c:pt idx="48">
                  <c:v>0.17499999999999999</c:v>
                </c:pt>
                <c:pt idx="49">
                  <c:v>0.16111111111111101</c:v>
                </c:pt>
                <c:pt idx="50">
                  <c:v>0.13055555555555501</c:v>
                </c:pt>
                <c:pt idx="51">
                  <c:v>0.21666666666666601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C2-4521-A692-74F6C5428BD5}"/>
            </c:ext>
          </c:extLst>
        </c:ser>
        <c:ser>
          <c:idx val="2"/>
          <c:order val="2"/>
          <c:tx>
            <c:strRef>
              <c:f>mae!$I$3</c:f>
              <c:strCache>
                <c:ptCount val="1"/>
                <c:pt idx="0">
                  <c:v>FLOOR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mae!$I$4:$I$55</c:f>
              <c:numCache>
                <c:formatCode>0.000</c:formatCode>
                <c:ptCount val="52"/>
                <c:pt idx="0">
                  <c:v>0.32361111111111102</c:v>
                </c:pt>
                <c:pt idx="1">
                  <c:v>0.243055555555555</c:v>
                </c:pt>
                <c:pt idx="2">
                  <c:v>0.29305555555555501</c:v>
                </c:pt>
                <c:pt idx="3">
                  <c:v>0.28472222222222199</c:v>
                </c:pt>
                <c:pt idx="4">
                  <c:v>0.241666666666666</c:v>
                </c:pt>
                <c:pt idx="5">
                  <c:v>0.32500000000000001</c:v>
                </c:pt>
                <c:pt idx="6">
                  <c:v>0.234722222222222</c:v>
                </c:pt>
                <c:pt idx="7">
                  <c:v>0.40833333333333299</c:v>
                </c:pt>
                <c:pt idx="8">
                  <c:v>0.44166666666666599</c:v>
                </c:pt>
                <c:pt idx="9">
                  <c:v>0.35277777777777702</c:v>
                </c:pt>
                <c:pt idx="10">
                  <c:v>0.34583333333333299</c:v>
                </c:pt>
                <c:pt idx="11">
                  <c:v>0.29027777777777702</c:v>
                </c:pt>
                <c:pt idx="12">
                  <c:v>0.29027777777777702</c:v>
                </c:pt>
                <c:pt idx="13">
                  <c:v>0.41527777777777702</c:v>
                </c:pt>
                <c:pt idx="14">
                  <c:v>0.19861111111111099</c:v>
                </c:pt>
                <c:pt idx="15">
                  <c:v>0.36388888888888798</c:v>
                </c:pt>
                <c:pt idx="16">
                  <c:v>0.34027777777777701</c:v>
                </c:pt>
                <c:pt idx="17">
                  <c:v>0.36388888888888798</c:v>
                </c:pt>
                <c:pt idx="18">
                  <c:v>0.34722222222222199</c:v>
                </c:pt>
                <c:pt idx="19">
                  <c:v>0.3125</c:v>
                </c:pt>
                <c:pt idx="20">
                  <c:v>0.58194444444444404</c:v>
                </c:pt>
                <c:pt idx="21">
                  <c:v>0.27361111111111103</c:v>
                </c:pt>
                <c:pt idx="22">
                  <c:v>0.34722222222222199</c:v>
                </c:pt>
                <c:pt idx="23">
                  <c:v>0.36666666666666597</c:v>
                </c:pt>
                <c:pt idx="24">
                  <c:v>0.37916666666666599</c:v>
                </c:pt>
                <c:pt idx="25">
                  <c:v>0.31111111111111101</c:v>
                </c:pt>
                <c:pt idx="26">
                  <c:v>0.327777777777777</c:v>
                </c:pt>
                <c:pt idx="27">
                  <c:v>0.36249999999999999</c:v>
                </c:pt>
                <c:pt idx="28">
                  <c:v>0.327777777777777</c:v>
                </c:pt>
                <c:pt idx="29">
                  <c:v>0.25555555555555498</c:v>
                </c:pt>
                <c:pt idx="30">
                  <c:v>0.36249999999999999</c:v>
                </c:pt>
                <c:pt idx="31">
                  <c:v>0.31111111111111101</c:v>
                </c:pt>
                <c:pt idx="32">
                  <c:v>0.297222222222222</c:v>
                </c:pt>
                <c:pt idx="33">
                  <c:v>0.37777777777777699</c:v>
                </c:pt>
                <c:pt idx="34">
                  <c:v>0.33611111111111103</c:v>
                </c:pt>
                <c:pt idx="35">
                  <c:v>0.32638888888888801</c:v>
                </c:pt>
                <c:pt idx="36">
                  <c:v>0.36805555555555503</c:v>
                </c:pt>
                <c:pt idx="37">
                  <c:v>0.343055555555555</c:v>
                </c:pt>
                <c:pt idx="38">
                  <c:v>0.38194444444444398</c:v>
                </c:pt>
                <c:pt idx="39">
                  <c:v>0.34583333333333299</c:v>
                </c:pt>
                <c:pt idx="40">
                  <c:v>0.44027777777777699</c:v>
                </c:pt>
                <c:pt idx="41">
                  <c:v>0.46527777777777701</c:v>
                </c:pt>
                <c:pt idx="42">
                  <c:v>0.33472222222222198</c:v>
                </c:pt>
                <c:pt idx="43">
                  <c:v>0.28333333333333299</c:v>
                </c:pt>
                <c:pt idx="44">
                  <c:v>0.21388888888888799</c:v>
                </c:pt>
                <c:pt idx="45">
                  <c:v>0.7</c:v>
                </c:pt>
                <c:pt idx="46">
                  <c:v>0.30555555555555503</c:v>
                </c:pt>
                <c:pt idx="47">
                  <c:v>0.40138888888888802</c:v>
                </c:pt>
                <c:pt idx="48">
                  <c:v>0.28888888888888797</c:v>
                </c:pt>
                <c:pt idx="49">
                  <c:v>0.22500000000000001</c:v>
                </c:pt>
                <c:pt idx="50">
                  <c:v>0.209722222222222</c:v>
                </c:pt>
                <c:pt idx="51">
                  <c:v>0.33611111111111103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C2-4521-A692-74F6C5428BD5}"/>
            </c:ext>
          </c:extLst>
        </c:ser>
        <c:ser>
          <c:idx val="3"/>
          <c:order val="3"/>
          <c:tx>
            <c:strRef>
              <c:f>mae!$J$3</c:f>
              <c:strCache>
                <c:ptCount val="1"/>
                <c:pt idx="0">
                  <c:v>CEIL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mae!$J$4:$J$55</c:f>
              <c:numCache>
                <c:formatCode>0.000</c:formatCode>
                <c:ptCount val="52"/>
                <c:pt idx="0">
                  <c:v>0.23888888888888801</c:v>
                </c:pt>
                <c:pt idx="1">
                  <c:v>0.25694444444444398</c:v>
                </c:pt>
                <c:pt idx="2">
                  <c:v>0.27083333333333298</c:v>
                </c:pt>
                <c:pt idx="3">
                  <c:v>0.19027777777777699</c:v>
                </c:pt>
                <c:pt idx="4">
                  <c:v>0.29166666666666602</c:v>
                </c:pt>
                <c:pt idx="5">
                  <c:v>0.211111111111111</c:v>
                </c:pt>
                <c:pt idx="6">
                  <c:v>0.243055555555555</c:v>
                </c:pt>
                <c:pt idx="7">
                  <c:v>0.25277777777777699</c:v>
                </c:pt>
                <c:pt idx="8">
                  <c:v>0.26944444444444399</c:v>
                </c:pt>
                <c:pt idx="9">
                  <c:v>0.23888888888888801</c:v>
                </c:pt>
                <c:pt idx="10">
                  <c:v>0.17638888888888801</c:v>
                </c:pt>
                <c:pt idx="11">
                  <c:v>0.19861111111111099</c:v>
                </c:pt>
                <c:pt idx="12">
                  <c:v>0.19305555555555501</c:v>
                </c:pt>
                <c:pt idx="13">
                  <c:v>0.179166666666666</c:v>
                </c:pt>
                <c:pt idx="14">
                  <c:v>0.27083333333333298</c:v>
                </c:pt>
                <c:pt idx="15">
                  <c:v>0.19166666666666601</c:v>
                </c:pt>
                <c:pt idx="16">
                  <c:v>0.106944444444444</c:v>
                </c:pt>
                <c:pt idx="17">
                  <c:v>0.27777777777777701</c:v>
                </c:pt>
                <c:pt idx="18">
                  <c:v>0.202777777777777</c:v>
                </c:pt>
                <c:pt idx="19">
                  <c:v>0.19027777777777699</c:v>
                </c:pt>
                <c:pt idx="20">
                  <c:v>0.32361111111111102</c:v>
                </c:pt>
                <c:pt idx="21">
                  <c:v>0.22916666666666599</c:v>
                </c:pt>
                <c:pt idx="22">
                  <c:v>0.280555555555555</c:v>
                </c:pt>
                <c:pt idx="23">
                  <c:v>0.22222222222222199</c:v>
                </c:pt>
                <c:pt idx="24">
                  <c:v>0.165277777777777</c:v>
                </c:pt>
                <c:pt idx="25">
                  <c:v>0.19305555555555501</c:v>
                </c:pt>
                <c:pt idx="26">
                  <c:v>0.20555555555555499</c:v>
                </c:pt>
                <c:pt idx="27">
                  <c:v>0.170833333333333</c:v>
                </c:pt>
                <c:pt idx="28">
                  <c:v>0.32500000000000001</c:v>
                </c:pt>
                <c:pt idx="29">
                  <c:v>0.24444444444444399</c:v>
                </c:pt>
                <c:pt idx="30">
                  <c:v>0.20694444444444399</c:v>
                </c:pt>
                <c:pt idx="31">
                  <c:v>0.405555555555555</c:v>
                </c:pt>
                <c:pt idx="32">
                  <c:v>0.241666666666666</c:v>
                </c:pt>
                <c:pt idx="33">
                  <c:v>0.21249999999999999</c:v>
                </c:pt>
                <c:pt idx="34">
                  <c:v>0.266666666666666</c:v>
                </c:pt>
                <c:pt idx="35">
                  <c:v>0.21249999999999999</c:v>
                </c:pt>
                <c:pt idx="36">
                  <c:v>0.148611111111111</c:v>
                </c:pt>
                <c:pt idx="37">
                  <c:v>0.24583333333333299</c:v>
                </c:pt>
                <c:pt idx="38">
                  <c:v>0.18472222222222201</c:v>
                </c:pt>
                <c:pt idx="39">
                  <c:v>0.24861111111111101</c:v>
                </c:pt>
                <c:pt idx="40">
                  <c:v>0.165277777777777</c:v>
                </c:pt>
                <c:pt idx="41">
                  <c:v>0.15138888888888799</c:v>
                </c:pt>
                <c:pt idx="42">
                  <c:v>0.27083333333333298</c:v>
                </c:pt>
                <c:pt idx="43">
                  <c:v>0.21666666666666601</c:v>
                </c:pt>
                <c:pt idx="44">
                  <c:v>0.26111111111111102</c:v>
                </c:pt>
                <c:pt idx="45">
                  <c:v>0.60416666666666596</c:v>
                </c:pt>
                <c:pt idx="46">
                  <c:v>0.21388888888888799</c:v>
                </c:pt>
                <c:pt idx="47">
                  <c:v>0.19305555555555501</c:v>
                </c:pt>
                <c:pt idx="48">
                  <c:v>0.23611111111111099</c:v>
                </c:pt>
                <c:pt idx="49">
                  <c:v>0.21527777777777701</c:v>
                </c:pt>
                <c:pt idx="50">
                  <c:v>0.25555555555555498</c:v>
                </c:pt>
                <c:pt idx="51">
                  <c:v>0.20138888888888801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2C2-4521-A692-74F6C5428B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8631184"/>
        <c:axId val="77013280"/>
      </c:barChart>
      <c:catAx>
        <c:axId val="188631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Store</a:t>
                </a:r>
                <a:r>
                  <a:rPr lang="en-GB" baseline="0"/>
                  <a:t> Id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13280"/>
        <c:crosses val="autoZero"/>
        <c:auto val="1"/>
        <c:lblAlgn val="ctr"/>
        <c:lblOffset val="100"/>
        <c:noMultiLvlLbl val="0"/>
      </c:catAx>
      <c:valAx>
        <c:axId val="7701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MAE</a:t>
                </a:r>
                <a:r>
                  <a:rPr lang="en-GB" baseline="0"/>
                  <a:t> %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31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587827</xdr:colOff>
      <xdr:row>8</xdr:row>
      <xdr:rowOff>80553</xdr:rowOff>
    </xdr:from>
    <xdr:to>
      <xdr:col>30</xdr:col>
      <xdr:colOff>484909</xdr:colOff>
      <xdr:row>47</xdr:row>
      <xdr:rowOff>27708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8DAF6C-7ECD-74D0-242B-BF79F209D0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50</xdr:row>
      <xdr:rowOff>0</xdr:rowOff>
    </xdr:from>
    <xdr:to>
      <xdr:col>30</xdr:col>
      <xdr:colOff>506682</xdr:colOff>
      <xdr:row>88</xdr:row>
      <xdr:rowOff>127264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62B3024-F0D3-4961-8F3F-2537AAC025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55"/>
  <sheetViews>
    <sheetView tabSelected="1" zoomScaleNormal="100" workbookViewId="0">
      <selection activeCell="L51" sqref="L51"/>
    </sheetView>
  </sheetViews>
  <sheetFormatPr defaultRowHeight="14.4" x14ac:dyDescent="0.3"/>
  <cols>
    <col min="2" max="2" width="8.6640625" style="1" customWidth="1"/>
    <col min="3" max="3" width="12.33203125" customWidth="1"/>
    <col min="4" max="5" width="13.88671875" customWidth="1"/>
    <col min="6" max="6" width="13.44140625" customWidth="1"/>
    <col min="7" max="7" width="11" style="2" customWidth="1"/>
    <col min="8" max="8" width="10.44140625" style="2" customWidth="1"/>
    <col min="9" max="9" width="11" style="2" customWidth="1"/>
    <col min="10" max="10" width="10" style="2" customWidth="1"/>
  </cols>
  <sheetData>
    <row r="2" spans="2:16" x14ac:dyDescent="0.3">
      <c r="G2" s="8" t="s">
        <v>5</v>
      </c>
      <c r="H2" s="8"/>
      <c r="I2" s="8"/>
      <c r="J2" s="8"/>
      <c r="M2" s="10" t="s">
        <v>5</v>
      </c>
      <c r="N2" s="10"/>
      <c r="O2" s="10"/>
      <c r="P2" s="10"/>
    </row>
    <row r="3" spans="2:16" x14ac:dyDescent="0.3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4" t="s">
        <v>6</v>
      </c>
      <c r="H3" s="4" t="s">
        <v>7</v>
      </c>
      <c r="I3" s="4" t="s">
        <v>8</v>
      </c>
      <c r="J3" s="4" t="s">
        <v>9</v>
      </c>
      <c r="L3" s="6"/>
      <c r="M3" s="4" t="s">
        <v>6</v>
      </c>
      <c r="N3" s="4" t="s">
        <v>7</v>
      </c>
      <c r="O3" s="4" t="s">
        <v>8</v>
      </c>
      <c r="P3" s="4" t="s">
        <v>9</v>
      </c>
    </row>
    <row r="4" spans="2:16" x14ac:dyDescent="0.3">
      <c r="B4" s="5">
        <v>10</v>
      </c>
      <c r="C4" s="6">
        <v>4237</v>
      </c>
      <c r="D4" s="6">
        <v>8749</v>
      </c>
      <c r="E4" s="6">
        <v>8029</v>
      </c>
      <c r="F4" s="6">
        <v>720</v>
      </c>
      <c r="G4" s="7">
        <v>0.21664232918729601</v>
      </c>
      <c r="H4" s="7">
        <v>0.17777777777777701</v>
      </c>
      <c r="I4" s="7">
        <v>0.32361111111111102</v>
      </c>
      <c r="J4" s="7">
        <v>0.23888888888888801</v>
      </c>
      <c r="L4" s="9" t="s">
        <v>10</v>
      </c>
      <c r="M4" s="7">
        <f>MIN(G4:G55)</f>
        <v>0.14065889220132</v>
      </c>
      <c r="N4" s="7">
        <f t="shared" ref="N4:P4" si="0">MIN(H4:H55)</f>
        <v>0.10416666666666601</v>
      </c>
      <c r="O4" s="7">
        <f t="shared" si="0"/>
        <v>0.19861111111111099</v>
      </c>
      <c r="P4" s="7">
        <f t="shared" si="0"/>
        <v>0.106944444444444</v>
      </c>
    </row>
    <row r="5" spans="2:16" x14ac:dyDescent="0.3">
      <c r="B5" s="5">
        <v>11</v>
      </c>
      <c r="C5" s="6">
        <v>3877</v>
      </c>
      <c r="D5" s="6">
        <v>8725</v>
      </c>
      <c r="E5" s="6">
        <v>8005</v>
      </c>
      <c r="F5" s="6">
        <v>720</v>
      </c>
      <c r="G5" s="7">
        <v>0.18026495606399701</v>
      </c>
      <c r="H5" s="7">
        <v>0.147222222222222</v>
      </c>
      <c r="I5" s="7">
        <v>0.243055555555555</v>
      </c>
      <c r="J5" s="7">
        <v>0.25694444444444398</v>
      </c>
      <c r="L5" s="9" t="s">
        <v>11</v>
      </c>
      <c r="M5" s="7">
        <f>MAX(G4:G55)</f>
        <v>0.62948015498099896</v>
      </c>
      <c r="N5" s="7">
        <f t="shared" ref="N5:P5" si="1">MAX(H4:H55)</f>
        <v>0.625</v>
      </c>
      <c r="O5" s="7">
        <f t="shared" si="1"/>
        <v>0.7</v>
      </c>
      <c r="P5" s="7">
        <f t="shared" si="1"/>
        <v>0.60416666666666596</v>
      </c>
    </row>
    <row r="6" spans="2:16" x14ac:dyDescent="0.3">
      <c r="B6" s="5">
        <v>13</v>
      </c>
      <c r="C6" s="6">
        <v>4237</v>
      </c>
      <c r="D6" s="6">
        <v>8749</v>
      </c>
      <c r="E6" s="6">
        <v>8029</v>
      </c>
      <c r="F6" s="6">
        <v>720</v>
      </c>
      <c r="G6" s="7">
        <v>0.22680493130856</v>
      </c>
      <c r="H6" s="7">
        <v>0.2</v>
      </c>
      <c r="I6" s="7">
        <v>0.29305555555555501</v>
      </c>
      <c r="J6" s="7">
        <v>0.27083333333333298</v>
      </c>
      <c r="L6" s="9" t="s">
        <v>12</v>
      </c>
      <c r="M6" s="7">
        <f>AVERAGE(G4:G55)</f>
        <v>0.23037065791701783</v>
      </c>
      <c r="N6" s="7">
        <f t="shared" ref="N6:P6" si="2">AVERAGE(H4:H55)</f>
        <v>0.2004807692307688</v>
      </c>
      <c r="O6" s="7">
        <f t="shared" si="2"/>
        <v>0.33854166666666635</v>
      </c>
      <c r="P6" s="7">
        <f t="shared" si="2"/>
        <v>0.23402777777777731</v>
      </c>
    </row>
    <row r="7" spans="2:16" x14ac:dyDescent="0.3">
      <c r="B7" s="5">
        <v>14</v>
      </c>
      <c r="C7" s="6">
        <v>3876</v>
      </c>
      <c r="D7" s="6">
        <v>8725</v>
      </c>
      <c r="E7" s="6">
        <v>8005</v>
      </c>
      <c r="F7" s="6">
        <v>720</v>
      </c>
      <c r="G7" s="7">
        <v>0.161960859824685</v>
      </c>
      <c r="H7" s="7">
        <v>0.122222222222222</v>
      </c>
      <c r="I7" s="7">
        <v>0.28472222222222199</v>
      </c>
      <c r="J7" s="7">
        <v>0.19027777777777699</v>
      </c>
      <c r="L7" s="9" t="s">
        <v>13</v>
      </c>
      <c r="M7" s="7">
        <f>MEDIAN(G4:G55)</f>
        <v>0.215515474078947</v>
      </c>
      <c r="N7" s="7">
        <f t="shared" ref="N7:P7" si="3">MEDIAN(H4:H55)</f>
        <v>0.18333333333333299</v>
      </c>
      <c r="O7" s="7">
        <f t="shared" si="3"/>
        <v>0.33541666666666647</v>
      </c>
      <c r="P7" s="7">
        <f t="shared" si="3"/>
        <v>0.219444444444444</v>
      </c>
    </row>
    <row r="8" spans="2:16" x14ac:dyDescent="0.3">
      <c r="B8" s="5">
        <v>15</v>
      </c>
      <c r="C8" s="6">
        <v>4237</v>
      </c>
      <c r="D8" s="6">
        <v>8749</v>
      </c>
      <c r="E8" s="6">
        <v>8029</v>
      </c>
      <c r="F8" s="6">
        <v>720</v>
      </c>
      <c r="G8" s="7">
        <v>0.181130742653864</v>
      </c>
      <c r="H8" s="7">
        <v>0.12361111111111101</v>
      </c>
      <c r="I8" s="7">
        <v>0.241666666666666</v>
      </c>
      <c r="J8" s="7">
        <v>0.29166666666666602</v>
      </c>
    </row>
    <row r="9" spans="2:16" x14ac:dyDescent="0.3">
      <c r="B9" s="5">
        <v>16</v>
      </c>
      <c r="C9" s="6">
        <v>4170</v>
      </c>
      <c r="D9" s="6">
        <v>8749</v>
      </c>
      <c r="E9" s="6">
        <v>8029</v>
      </c>
      <c r="F9" s="6">
        <v>720</v>
      </c>
      <c r="G9" s="7">
        <v>0.212285093176073</v>
      </c>
      <c r="H9" s="7">
        <v>0.180555555555555</v>
      </c>
      <c r="I9" s="7">
        <v>0.32500000000000001</v>
      </c>
      <c r="J9" s="7">
        <v>0.211111111111111</v>
      </c>
    </row>
    <row r="10" spans="2:16" x14ac:dyDescent="0.3">
      <c r="B10" s="5">
        <v>17</v>
      </c>
      <c r="C10" s="6">
        <v>3879</v>
      </c>
      <c r="D10" s="6">
        <v>8725</v>
      </c>
      <c r="E10" s="6">
        <v>8005</v>
      </c>
      <c r="F10" s="6">
        <v>720</v>
      </c>
      <c r="G10" s="7">
        <v>0.15086108082468799</v>
      </c>
      <c r="H10" s="7">
        <v>0.11527777777777699</v>
      </c>
      <c r="I10" s="7">
        <v>0.234722222222222</v>
      </c>
      <c r="J10" s="7">
        <v>0.243055555555555</v>
      </c>
    </row>
    <row r="11" spans="2:16" x14ac:dyDescent="0.3">
      <c r="B11" s="5">
        <v>18</v>
      </c>
      <c r="C11" s="6">
        <v>4239</v>
      </c>
      <c r="D11" s="6">
        <v>8749</v>
      </c>
      <c r="E11" s="6">
        <v>8029</v>
      </c>
      <c r="F11" s="6">
        <v>720</v>
      </c>
      <c r="G11" s="7">
        <v>0.27921662479215598</v>
      </c>
      <c r="H11" s="7">
        <v>0.251388888888888</v>
      </c>
      <c r="I11" s="7">
        <v>0.40833333333333299</v>
      </c>
      <c r="J11" s="7">
        <v>0.25277777777777699</v>
      </c>
    </row>
    <row r="12" spans="2:16" x14ac:dyDescent="0.3">
      <c r="B12" s="5">
        <v>19</v>
      </c>
      <c r="C12" s="6">
        <v>4224</v>
      </c>
      <c r="D12" s="6">
        <v>8749</v>
      </c>
      <c r="E12" s="6">
        <v>8029</v>
      </c>
      <c r="F12" s="6">
        <v>720</v>
      </c>
      <c r="G12" s="7">
        <v>0.28416354658797699</v>
      </c>
      <c r="H12" s="7">
        <v>0.26250000000000001</v>
      </c>
      <c r="I12" s="7">
        <v>0.44166666666666599</v>
      </c>
      <c r="J12" s="7">
        <v>0.26944444444444399</v>
      </c>
    </row>
    <row r="13" spans="2:16" x14ac:dyDescent="0.3">
      <c r="B13" s="5">
        <v>20</v>
      </c>
      <c r="C13" s="6">
        <v>4237</v>
      </c>
      <c r="D13" s="6">
        <v>8749</v>
      </c>
      <c r="E13" s="6">
        <v>8029</v>
      </c>
      <c r="F13" s="6">
        <v>720</v>
      </c>
      <c r="G13" s="7">
        <v>0.20985827996814599</v>
      </c>
      <c r="H13" s="7">
        <v>0.18333333333333299</v>
      </c>
      <c r="I13" s="7">
        <v>0.35277777777777702</v>
      </c>
      <c r="J13" s="7">
        <v>0.23888888888888801</v>
      </c>
    </row>
    <row r="14" spans="2:16" x14ac:dyDescent="0.3">
      <c r="B14" s="5">
        <v>21</v>
      </c>
      <c r="C14" s="6">
        <v>3878</v>
      </c>
      <c r="D14" s="6">
        <v>8725</v>
      </c>
      <c r="E14" s="6">
        <v>8005</v>
      </c>
      <c r="F14" s="6">
        <v>720</v>
      </c>
      <c r="G14" s="7">
        <v>0.17525700294654101</v>
      </c>
      <c r="H14" s="7">
        <v>0.13611111111111099</v>
      </c>
      <c r="I14" s="7">
        <v>0.34583333333333299</v>
      </c>
      <c r="J14" s="7">
        <v>0.17638888888888801</v>
      </c>
    </row>
    <row r="15" spans="2:16" x14ac:dyDescent="0.3">
      <c r="B15" s="5">
        <v>22</v>
      </c>
      <c r="C15" s="6">
        <v>3877</v>
      </c>
      <c r="D15" s="6">
        <v>8725</v>
      </c>
      <c r="E15" s="6">
        <v>8005</v>
      </c>
      <c r="F15" s="6">
        <v>720</v>
      </c>
      <c r="G15" s="7">
        <v>0.178409110702998</v>
      </c>
      <c r="H15" s="7">
        <v>0.140277777777777</v>
      </c>
      <c r="I15" s="7">
        <v>0.29027777777777702</v>
      </c>
      <c r="J15" s="7">
        <v>0.19861111111111099</v>
      </c>
    </row>
    <row r="16" spans="2:16" x14ac:dyDescent="0.3">
      <c r="B16" s="5">
        <v>25</v>
      </c>
      <c r="C16" s="6">
        <v>3877</v>
      </c>
      <c r="D16" s="6">
        <v>8725</v>
      </c>
      <c r="E16" s="6">
        <v>8005</v>
      </c>
      <c r="F16" s="6">
        <v>720</v>
      </c>
      <c r="G16" s="7">
        <v>0.18974443390253601</v>
      </c>
      <c r="H16" s="7">
        <v>0.15833333333333299</v>
      </c>
      <c r="I16" s="7">
        <v>0.29027777777777702</v>
      </c>
      <c r="J16" s="7">
        <v>0.19305555555555501</v>
      </c>
    </row>
    <row r="17" spans="2:10" x14ac:dyDescent="0.3">
      <c r="B17" s="5">
        <v>26</v>
      </c>
      <c r="C17" s="6">
        <v>3878</v>
      </c>
      <c r="D17" s="6">
        <v>8725</v>
      </c>
      <c r="E17" s="6">
        <v>8005</v>
      </c>
      <c r="F17" s="6">
        <v>720</v>
      </c>
      <c r="G17" s="7">
        <v>0.26471914988780498</v>
      </c>
      <c r="H17" s="7">
        <v>0.24861111111111101</v>
      </c>
      <c r="I17" s="7">
        <v>0.41527777777777702</v>
      </c>
      <c r="J17" s="7">
        <v>0.179166666666666</v>
      </c>
    </row>
    <row r="18" spans="2:10" x14ac:dyDescent="0.3">
      <c r="B18" s="5">
        <v>30</v>
      </c>
      <c r="C18" s="6">
        <v>3791</v>
      </c>
      <c r="D18" s="6">
        <v>8725</v>
      </c>
      <c r="E18" s="6">
        <v>8005</v>
      </c>
      <c r="F18" s="6">
        <v>720</v>
      </c>
      <c r="G18" s="7">
        <v>0.14065889220132</v>
      </c>
      <c r="H18" s="7">
        <v>0.10416666666666601</v>
      </c>
      <c r="I18" s="7">
        <v>0.19861111111111099</v>
      </c>
      <c r="J18" s="7">
        <v>0.27083333333333298</v>
      </c>
    </row>
    <row r="19" spans="2:10" x14ac:dyDescent="0.3">
      <c r="B19" s="5">
        <v>31</v>
      </c>
      <c r="C19" s="6">
        <v>4224</v>
      </c>
      <c r="D19" s="6">
        <v>8749</v>
      </c>
      <c r="E19" s="6">
        <v>8029</v>
      </c>
      <c r="F19" s="6">
        <v>720</v>
      </c>
      <c r="G19" s="7">
        <v>0.23312817237567801</v>
      </c>
      <c r="H19" s="7">
        <v>0.204166666666666</v>
      </c>
      <c r="I19" s="7">
        <v>0.36388888888888798</v>
      </c>
      <c r="J19" s="7">
        <v>0.19166666666666601</v>
      </c>
    </row>
    <row r="20" spans="2:10" x14ac:dyDescent="0.3">
      <c r="B20" s="5">
        <v>32</v>
      </c>
      <c r="C20" s="6">
        <v>3878</v>
      </c>
      <c r="D20" s="6">
        <v>8725</v>
      </c>
      <c r="E20" s="6">
        <v>8005</v>
      </c>
      <c r="F20" s="6">
        <v>720</v>
      </c>
      <c r="G20" s="7">
        <v>0.18820227655571101</v>
      </c>
      <c r="H20" s="7">
        <v>0.15972222222222199</v>
      </c>
      <c r="I20" s="7">
        <v>0.34027777777777701</v>
      </c>
      <c r="J20" s="7">
        <v>0.106944444444444</v>
      </c>
    </row>
    <row r="21" spans="2:10" x14ac:dyDescent="0.3">
      <c r="B21" s="5">
        <v>33</v>
      </c>
      <c r="C21" s="6">
        <v>4218</v>
      </c>
      <c r="D21" s="6">
        <v>8749</v>
      </c>
      <c r="E21" s="6">
        <v>8029</v>
      </c>
      <c r="F21" s="6">
        <v>720</v>
      </c>
      <c r="G21" s="7">
        <v>0.27018326594962899</v>
      </c>
      <c r="H21" s="7">
        <v>0.23888888888888801</v>
      </c>
      <c r="I21" s="7">
        <v>0.36388888888888798</v>
      </c>
      <c r="J21" s="7">
        <v>0.27777777777777701</v>
      </c>
    </row>
    <row r="22" spans="2:10" x14ac:dyDescent="0.3">
      <c r="B22" s="5">
        <v>34</v>
      </c>
      <c r="C22" s="6">
        <v>3863</v>
      </c>
      <c r="D22" s="6">
        <v>8725</v>
      </c>
      <c r="E22" s="6">
        <v>8005</v>
      </c>
      <c r="F22" s="6">
        <v>720</v>
      </c>
      <c r="G22" s="7">
        <v>0.22474036836854699</v>
      </c>
      <c r="H22" s="7">
        <v>0.204166666666666</v>
      </c>
      <c r="I22" s="7">
        <v>0.34722222222222199</v>
      </c>
      <c r="J22" s="7">
        <v>0.202777777777777</v>
      </c>
    </row>
    <row r="23" spans="2:10" x14ac:dyDescent="0.3">
      <c r="B23" s="5">
        <v>35</v>
      </c>
      <c r="C23" s="6">
        <v>3878</v>
      </c>
      <c r="D23" s="6">
        <v>8725</v>
      </c>
      <c r="E23" s="6">
        <v>8005</v>
      </c>
      <c r="F23" s="6">
        <v>720</v>
      </c>
      <c r="G23" s="7">
        <v>0.21197978895366201</v>
      </c>
      <c r="H23" s="7">
        <v>0.19861111111111099</v>
      </c>
      <c r="I23" s="7">
        <v>0.3125</v>
      </c>
      <c r="J23" s="7">
        <v>0.19027777777777699</v>
      </c>
    </row>
    <row r="24" spans="2:10" x14ac:dyDescent="0.3">
      <c r="B24" s="5">
        <v>37</v>
      </c>
      <c r="C24" s="6">
        <v>4238</v>
      </c>
      <c r="D24" s="6">
        <v>8749</v>
      </c>
      <c r="E24" s="6">
        <v>8029</v>
      </c>
      <c r="F24" s="6">
        <v>720</v>
      </c>
      <c r="G24" s="7">
        <v>0.43160801314764302</v>
      </c>
      <c r="H24" s="7">
        <v>0.41805555555555501</v>
      </c>
      <c r="I24" s="7">
        <v>0.58194444444444404</v>
      </c>
      <c r="J24" s="7">
        <v>0.32361111111111102</v>
      </c>
    </row>
    <row r="25" spans="2:10" x14ac:dyDescent="0.3">
      <c r="B25" s="5">
        <v>38</v>
      </c>
      <c r="C25" s="6">
        <v>3876</v>
      </c>
      <c r="D25" s="6">
        <v>8725</v>
      </c>
      <c r="E25" s="6">
        <v>8005</v>
      </c>
      <c r="F25" s="6">
        <v>720</v>
      </c>
      <c r="G25" s="7">
        <v>0.19240249665009099</v>
      </c>
      <c r="H25" s="7">
        <v>0.179166666666666</v>
      </c>
      <c r="I25" s="7">
        <v>0.27361111111111103</v>
      </c>
      <c r="J25" s="7">
        <v>0.22916666666666599</v>
      </c>
    </row>
    <row r="26" spans="2:10" x14ac:dyDescent="0.3">
      <c r="B26" s="5">
        <v>39</v>
      </c>
      <c r="C26" s="6">
        <v>4238</v>
      </c>
      <c r="D26" s="6">
        <v>8749</v>
      </c>
      <c r="E26" s="6">
        <v>8029</v>
      </c>
      <c r="F26" s="6">
        <v>720</v>
      </c>
      <c r="G26" s="7">
        <v>0.26828342836854002</v>
      </c>
      <c r="H26" s="7">
        <v>0.23888888888888801</v>
      </c>
      <c r="I26" s="7">
        <v>0.34722222222222199</v>
      </c>
      <c r="J26" s="7">
        <v>0.280555555555555</v>
      </c>
    </row>
    <row r="27" spans="2:10" x14ac:dyDescent="0.3">
      <c r="B27" s="5">
        <v>40</v>
      </c>
      <c r="C27" s="6">
        <v>4237</v>
      </c>
      <c r="D27" s="6">
        <v>8749</v>
      </c>
      <c r="E27" s="6">
        <v>8029</v>
      </c>
      <c r="F27" s="6">
        <v>720</v>
      </c>
      <c r="G27" s="7">
        <v>0.21866364883977299</v>
      </c>
      <c r="H27" s="7">
        <v>0.17638888888888801</v>
      </c>
      <c r="I27" s="7">
        <v>0.36666666666666597</v>
      </c>
      <c r="J27" s="7">
        <v>0.22222222222222199</v>
      </c>
    </row>
    <row r="28" spans="2:10" x14ac:dyDescent="0.3">
      <c r="B28" s="5">
        <v>41</v>
      </c>
      <c r="C28" s="6">
        <v>3877</v>
      </c>
      <c r="D28" s="6">
        <v>8725</v>
      </c>
      <c r="E28" s="6">
        <v>8005</v>
      </c>
      <c r="F28" s="6">
        <v>720</v>
      </c>
      <c r="G28" s="7">
        <v>0.245147260758491</v>
      </c>
      <c r="H28" s="7">
        <v>0.234722222222222</v>
      </c>
      <c r="I28" s="7">
        <v>0.37916666666666599</v>
      </c>
      <c r="J28" s="7">
        <v>0.165277777777777</v>
      </c>
    </row>
    <row r="29" spans="2:10" x14ac:dyDescent="0.3">
      <c r="B29" s="5">
        <v>42</v>
      </c>
      <c r="C29" s="6">
        <v>3872</v>
      </c>
      <c r="D29" s="6">
        <v>8725</v>
      </c>
      <c r="E29" s="6">
        <v>8005</v>
      </c>
      <c r="F29" s="6">
        <v>720</v>
      </c>
      <c r="G29" s="7">
        <v>0.22124899003232501</v>
      </c>
      <c r="H29" s="7">
        <v>0.19861111111111099</v>
      </c>
      <c r="I29" s="7">
        <v>0.31111111111111101</v>
      </c>
      <c r="J29" s="7">
        <v>0.19305555555555501</v>
      </c>
    </row>
    <row r="30" spans="2:10" x14ac:dyDescent="0.3">
      <c r="B30" s="5">
        <v>43</v>
      </c>
      <c r="C30" s="6">
        <v>3876</v>
      </c>
      <c r="D30" s="6">
        <v>8725</v>
      </c>
      <c r="E30" s="6">
        <v>8005</v>
      </c>
      <c r="F30" s="6">
        <v>720</v>
      </c>
      <c r="G30" s="7">
        <v>0.20190476588130901</v>
      </c>
      <c r="H30" s="7">
        <v>0.15972222222222199</v>
      </c>
      <c r="I30" s="7">
        <v>0.327777777777777</v>
      </c>
      <c r="J30" s="7">
        <v>0.20555555555555499</v>
      </c>
    </row>
    <row r="31" spans="2:10" x14ac:dyDescent="0.3">
      <c r="B31" s="5">
        <v>45</v>
      </c>
      <c r="C31" s="6">
        <v>3878</v>
      </c>
      <c r="D31" s="6">
        <v>8725</v>
      </c>
      <c r="E31" s="6">
        <v>8005</v>
      </c>
      <c r="F31" s="6">
        <v>720</v>
      </c>
      <c r="G31" s="7">
        <v>0.20332484585913499</v>
      </c>
      <c r="H31" s="7">
        <v>0.156944444444444</v>
      </c>
      <c r="I31" s="7">
        <v>0.36249999999999999</v>
      </c>
      <c r="J31" s="7">
        <v>0.170833333333333</v>
      </c>
    </row>
    <row r="32" spans="2:10" x14ac:dyDescent="0.3">
      <c r="B32" s="5">
        <v>49</v>
      </c>
      <c r="C32" s="6">
        <v>3879</v>
      </c>
      <c r="D32" s="6">
        <v>8725</v>
      </c>
      <c r="E32" s="6">
        <v>8005</v>
      </c>
      <c r="F32" s="6">
        <v>720</v>
      </c>
      <c r="G32" s="7">
        <v>0.28503084940981399</v>
      </c>
      <c r="H32" s="7">
        <v>0.25555555555555498</v>
      </c>
      <c r="I32" s="7">
        <v>0.327777777777777</v>
      </c>
      <c r="J32" s="7">
        <v>0.32500000000000001</v>
      </c>
    </row>
    <row r="33" spans="2:10" x14ac:dyDescent="0.3">
      <c r="B33" s="5">
        <v>50</v>
      </c>
      <c r="C33" s="6">
        <v>3866</v>
      </c>
      <c r="D33" s="6">
        <v>8725</v>
      </c>
      <c r="E33" s="6">
        <v>8005</v>
      </c>
      <c r="F33" s="6">
        <v>720</v>
      </c>
      <c r="G33" s="7">
        <v>0.19359822155719</v>
      </c>
      <c r="H33" s="7">
        <v>0.14444444444444399</v>
      </c>
      <c r="I33" s="7">
        <v>0.25555555555555498</v>
      </c>
      <c r="J33" s="7">
        <v>0.24444444444444399</v>
      </c>
    </row>
    <row r="34" spans="2:10" x14ac:dyDescent="0.3">
      <c r="B34" s="5">
        <v>51</v>
      </c>
      <c r="C34" s="6">
        <v>3878</v>
      </c>
      <c r="D34" s="6">
        <v>8725</v>
      </c>
      <c r="E34" s="6">
        <v>8005</v>
      </c>
      <c r="F34" s="6">
        <v>720</v>
      </c>
      <c r="G34" s="7">
        <v>0.24855594872278</v>
      </c>
      <c r="H34" s="7">
        <v>0.22916666666666599</v>
      </c>
      <c r="I34" s="7">
        <v>0.36249999999999999</v>
      </c>
      <c r="J34" s="7">
        <v>0.20694444444444399</v>
      </c>
    </row>
    <row r="35" spans="2:10" x14ac:dyDescent="0.3">
      <c r="B35" s="5">
        <v>52</v>
      </c>
      <c r="C35" s="6">
        <v>3883</v>
      </c>
      <c r="D35" s="6">
        <v>8725</v>
      </c>
      <c r="E35" s="6">
        <v>8005</v>
      </c>
      <c r="F35" s="6">
        <v>720</v>
      </c>
      <c r="G35" s="7">
        <v>0.32985839479328699</v>
      </c>
      <c r="H35" s="7">
        <v>0.31111111111111101</v>
      </c>
      <c r="I35" s="7">
        <v>0.31111111111111101</v>
      </c>
      <c r="J35" s="7">
        <v>0.405555555555555</v>
      </c>
    </row>
    <row r="36" spans="2:10" x14ac:dyDescent="0.3">
      <c r="B36" s="5">
        <v>53</v>
      </c>
      <c r="C36" s="6">
        <v>3865</v>
      </c>
      <c r="D36" s="6">
        <v>8725</v>
      </c>
      <c r="E36" s="6">
        <v>8005</v>
      </c>
      <c r="F36" s="6">
        <v>720</v>
      </c>
      <c r="G36" s="7">
        <v>0.22462857361907701</v>
      </c>
      <c r="H36" s="7">
        <v>0.2</v>
      </c>
      <c r="I36" s="7">
        <v>0.297222222222222</v>
      </c>
      <c r="J36" s="7">
        <v>0.241666666666666</v>
      </c>
    </row>
    <row r="37" spans="2:10" x14ac:dyDescent="0.3">
      <c r="B37" s="5">
        <v>54</v>
      </c>
      <c r="C37" s="6">
        <v>3873</v>
      </c>
      <c r="D37" s="6">
        <v>8725</v>
      </c>
      <c r="E37" s="6">
        <v>8005</v>
      </c>
      <c r="F37" s="6">
        <v>720</v>
      </c>
      <c r="G37" s="7">
        <v>0.248381621885535</v>
      </c>
      <c r="H37" s="7">
        <v>0.226388888888888</v>
      </c>
      <c r="I37" s="7">
        <v>0.37777777777777699</v>
      </c>
      <c r="J37" s="7">
        <v>0.21249999999999999</v>
      </c>
    </row>
    <row r="38" spans="2:10" x14ac:dyDescent="0.3">
      <c r="B38" s="5">
        <v>55</v>
      </c>
      <c r="C38" s="6">
        <v>4231</v>
      </c>
      <c r="D38" s="6">
        <v>8749</v>
      </c>
      <c r="E38" s="6">
        <v>8029</v>
      </c>
      <c r="F38" s="6">
        <v>720</v>
      </c>
      <c r="G38" s="7">
        <v>0.21320966668964</v>
      </c>
      <c r="H38" s="7">
        <v>0.163888888888888</v>
      </c>
      <c r="I38" s="7">
        <v>0.33611111111111103</v>
      </c>
      <c r="J38" s="7">
        <v>0.266666666666666</v>
      </c>
    </row>
    <row r="39" spans="2:10" x14ac:dyDescent="0.3">
      <c r="B39" s="5">
        <v>56</v>
      </c>
      <c r="C39" s="6">
        <v>4231</v>
      </c>
      <c r="D39" s="6">
        <v>8749</v>
      </c>
      <c r="E39" s="6">
        <v>8029</v>
      </c>
      <c r="F39" s="6">
        <v>720</v>
      </c>
      <c r="G39" s="7">
        <v>0.169195743415886</v>
      </c>
      <c r="H39" s="7">
        <v>0.11111111111111099</v>
      </c>
      <c r="I39" s="7">
        <v>0.32638888888888801</v>
      </c>
      <c r="J39" s="7">
        <v>0.21249999999999999</v>
      </c>
    </row>
    <row r="40" spans="2:10" x14ac:dyDescent="0.3">
      <c r="B40" s="5">
        <v>58</v>
      </c>
      <c r="C40" s="6">
        <v>3633</v>
      </c>
      <c r="D40" s="6">
        <v>8749</v>
      </c>
      <c r="E40" s="6">
        <v>8029</v>
      </c>
      <c r="F40" s="6">
        <v>720</v>
      </c>
      <c r="G40" s="7">
        <v>0.193016860509542</v>
      </c>
      <c r="H40" s="7">
        <v>0.15138888888888799</v>
      </c>
      <c r="I40" s="7">
        <v>0.36805555555555503</v>
      </c>
      <c r="J40" s="7">
        <v>0.148611111111111</v>
      </c>
    </row>
    <row r="41" spans="2:10" x14ac:dyDescent="0.3">
      <c r="B41" s="5">
        <v>60</v>
      </c>
      <c r="C41" s="6">
        <v>4230</v>
      </c>
      <c r="D41" s="6">
        <v>8749</v>
      </c>
      <c r="E41" s="6">
        <v>8029</v>
      </c>
      <c r="F41" s="6">
        <v>720</v>
      </c>
      <c r="G41" s="7">
        <v>0.21438861897059799</v>
      </c>
      <c r="H41" s="7">
        <v>0.17361111111111099</v>
      </c>
      <c r="I41" s="7">
        <v>0.343055555555555</v>
      </c>
      <c r="J41" s="7">
        <v>0.24583333333333299</v>
      </c>
    </row>
    <row r="42" spans="2:10" x14ac:dyDescent="0.3">
      <c r="B42" s="5">
        <v>61</v>
      </c>
      <c r="C42" s="6">
        <v>3878</v>
      </c>
      <c r="D42" s="6">
        <v>8725</v>
      </c>
      <c r="E42" s="6">
        <v>8005</v>
      </c>
      <c r="F42" s="6">
        <v>720</v>
      </c>
      <c r="G42" s="7">
        <v>0.243814370480707</v>
      </c>
      <c r="H42" s="7">
        <v>0.211111111111111</v>
      </c>
      <c r="I42" s="7">
        <v>0.38194444444444398</v>
      </c>
      <c r="J42" s="7">
        <v>0.18472222222222201</v>
      </c>
    </row>
    <row r="43" spans="2:10" x14ac:dyDescent="0.3">
      <c r="B43" s="5">
        <v>62</v>
      </c>
      <c r="C43" s="6">
        <v>4251</v>
      </c>
      <c r="D43" s="6">
        <v>8749</v>
      </c>
      <c r="E43" s="6">
        <v>8029</v>
      </c>
      <c r="F43" s="6">
        <v>720</v>
      </c>
      <c r="G43" s="7">
        <v>0.25261375011543802</v>
      </c>
      <c r="H43" s="7">
        <v>0.23888888888888801</v>
      </c>
      <c r="I43" s="7">
        <v>0.34583333333333299</v>
      </c>
      <c r="J43" s="7">
        <v>0.24861111111111101</v>
      </c>
    </row>
    <row r="44" spans="2:10" x14ac:dyDescent="0.3">
      <c r="B44" s="5">
        <v>63</v>
      </c>
      <c r="C44" s="6">
        <v>3877</v>
      </c>
      <c r="D44" s="6">
        <v>8725</v>
      </c>
      <c r="E44" s="6">
        <v>8005</v>
      </c>
      <c r="F44" s="6">
        <v>720</v>
      </c>
      <c r="G44" s="7">
        <v>0.22419683663881501</v>
      </c>
      <c r="H44" s="7">
        <v>0.18333333333333299</v>
      </c>
      <c r="I44" s="7">
        <v>0.44027777777777699</v>
      </c>
      <c r="J44" s="7">
        <v>0.165277777777777</v>
      </c>
    </row>
    <row r="45" spans="2:10" x14ac:dyDescent="0.3">
      <c r="B45" s="5">
        <v>64</v>
      </c>
      <c r="C45" s="6">
        <v>3895</v>
      </c>
      <c r="D45" s="6">
        <v>8725</v>
      </c>
      <c r="E45" s="6">
        <v>8005</v>
      </c>
      <c r="F45" s="6">
        <v>720</v>
      </c>
      <c r="G45" s="7">
        <v>0.25268277130955502</v>
      </c>
      <c r="H45" s="7">
        <v>0.21388888888888799</v>
      </c>
      <c r="I45" s="7">
        <v>0.46527777777777701</v>
      </c>
      <c r="J45" s="7">
        <v>0.15138888888888799</v>
      </c>
    </row>
    <row r="46" spans="2:10" x14ac:dyDescent="0.3">
      <c r="B46" s="5">
        <v>65</v>
      </c>
      <c r="C46" s="6">
        <v>4226</v>
      </c>
      <c r="D46" s="6">
        <v>8749</v>
      </c>
      <c r="E46" s="6">
        <v>8029</v>
      </c>
      <c r="F46" s="6">
        <v>720</v>
      </c>
      <c r="G46" s="7">
        <v>0.25669379711844997</v>
      </c>
      <c r="H46" s="7">
        <v>0.234722222222222</v>
      </c>
      <c r="I46" s="7">
        <v>0.33472222222222198</v>
      </c>
      <c r="J46" s="7">
        <v>0.27083333333333298</v>
      </c>
    </row>
    <row r="47" spans="2:10" x14ac:dyDescent="0.3">
      <c r="B47" s="5">
        <v>66</v>
      </c>
      <c r="C47" s="6">
        <v>3879</v>
      </c>
      <c r="D47" s="6">
        <v>8725</v>
      </c>
      <c r="E47" s="6">
        <v>8005</v>
      </c>
      <c r="F47" s="6">
        <v>720</v>
      </c>
      <c r="G47" s="7">
        <v>0.208306862097212</v>
      </c>
      <c r="H47" s="7">
        <v>0.195833333333333</v>
      </c>
      <c r="I47" s="7">
        <v>0.28333333333333299</v>
      </c>
      <c r="J47" s="7">
        <v>0.21666666666666601</v>
      </c>
    </row>
    <row r="48" spans="2:10" x14ac:dyDescent="0.3">
      <c r="B48" s="5">
        <v>67</v>
      </c>
      <c r="C48" s="6">
        <v>3865</v>
      </c>
      <c r="D48" s="6">
        <v>8725</v>
      </c>
      <c r="E48" s="6">
        <v>8005</v>
      </c>
      <c r="F48" s="6">
        <v>720</v>
      </c>
      <c r="G48" s="7">
        <v>0.20549666200240299</v>
      </c>
      <c r="H48" s="7">
        <v>0.18194444444444399</v>
      </c>
      <c r="I48" s="7">
        <v>0.21388888888888799</v>
      </c>
      <c r="J48" s="7">
        <v>0.26111111111111102</v>
      </c>
    </row>
    <row r="49" spans="2:10" x14ac:dyDescent="0.3">
      <c r="B49" s="5">
        <v>68</v>
      </c>
      <c r="C49" s="6">
        <v>4145</v>
      </c>
      <c r="D49" s="6">
        <v>8749</v>
      </c>
      <c r="E49" s="6">
        <v>8029</v>
      </c>
      <c r="F49" s="6">
        <v>720</v>
      </c>
      <c r="G49" s="7">
        <v>0.62948015498099896</v>
      </c>
      <c r="H49" s="7">
        <v>0.625</v>
      </c>
      <c r="I49" s="7">
        <v>0.7</v>
      </c>
      <c r="J49" s="7">
        <v>0.60416666666666596</v>
      </c>
    </row>
    <row r="50" spans="2:10" x14ac:dyDescent="0.3">
      <c r="B50" s="5">
        <v>69</v>
      </c>
      <c r="C50" s="6">
        <v>3877</v>
      </c>
      <c r="D50" s="6">
        <v>8725</v>
      </c>
      <c r="E50" s="6">
        <v>8005</v>
      </c>
      <c r="F50" s="6">
        <v>720</v>
      </c>
      <c r="G50" s="7">
        <v>0.18799426721066101</v>
      </c>
      <c r="H50" s="7">
        <v>0.14444444444444399</v>
      </c>
      <c r="I50" s="7">
        <v>0.30555555555555503</v>
      </c>
      <c r="J50" s="7">
        <v>0.21388888888888799</v>
      </c>
    </row>
    <row r="51" spans="2:10" x14ac:dyDescent="0.3">
      <c r="B51" s="5">
        <v>71</v>
      </c>
      <c r="C51" s="6">
        <v>3879</v>
      </c>
      <c r="D51" s="6">
        <v>8725</v>
      </c>
      <c r="E51" s="6">
        <v>8005</v>
      </c>
      <c r="F51" s="6">
        <v>720</v>
      </c>
      <c r="G51" s="7">
        <v>0.25119084119171797</v>
      </c>
      <c r="H51" s="7">
        <v>0.226388888888888</v>
      </c>
      <c r="I51" s="7">
        <v>0.40138888888888802</v>
      </c>
      <c r="J51" s="7">
        <v>0.19305555555555501</v>
      </c>
    </row>
    <row r="52" spans="2:10" x14ac:dyDescent="0.3">
      <c r="B52" s="5">
        <v>72</v>
      </c>
      <c r="C52" s="6">
        <v>3877</v>
      </c>
      <c r="D52" s="6">
        <v>8725</v>
      </c>
      <c r="E52" s="6">
        <v>8005</v>
      </c>
      <c r="F52" s="6">
        <v>720</v>
      </c>
      <c r="G52" s="7">
        <v>0.212515227021877</v>
      </c>
      <c r="H52" s="7">
        <v>0.17499999999999999</v>
      </c>
      <c r="I52" s="7">
        <v>0.28888888888888797</v>
      </c>
      <c r="J52" s="7">
        <v>0.23611111111111099</v>
      </c>
    </row>
    <row r="53" spans="2:10" x14ac:dyDescent="0.3">
      <c r="B53" s="5">
        <v>73</v>
      </c>
      <c r="C53" s="6">
        <v>3874</v>
      </c>
      <c r="D53" s="6">
        <v>8725</v>
      </c>
      <c r="E53" s="6">
        <v>8005</v>
      </c>
      <c r="F53" s="6">
        <v>720</v>
      </c>
      <c r="G53" s="7">
        <v>0.18540052834294601</v>
      </c>
      <c r="H53" s="7">
        <v>0.16111111111111101</v>
      </c>
      <c r="I53" s="7">
        <v>0.22500000000000001</v>
      </c>
      <c r="J53" s="7">
        <v>0.21527777777777701</v>
      </c>
    </row>
    <row r="54" spans="2:10" x14ac:dyDescent="0.3">
      <c r="B54" s="5">
        <v>74</v>
      </c>
      <c r="C54" s="6">
        <v>3872</v>
      </c>
      <c r="D54" s="6">
        <v>8725</v>
      </c>
      <c r="E54" s="6">
        <v>8005</v>
      </c>
      <c r="F54" s="6">
        <v>720</v>
      </c>
      <c r="G54" s="7">
        <v>0.156457018193639</v>
      </c>
      <c r="H54" s="7">
        <v>0.13055555555555501</v>
      </c>
      <c r="I54" s="7">
        <v>0.209722222222222</v>
      </c>
      <c r="J54" s="7">
        <v>0.25555555555555498</v>
      </c>
    </row>
    <row r="55" spans="2:10" x14ac:dyDescent="0.3">
      <c r="B55" s="5">
        <v>75</v>
      </c>
      <c r="C55" s="6">
        <v>3852</v>
      </c>
      <c r="D55" s="6">
        <v>8725</v>
      </c>
      <c r="E55" s="6">
        <v>8005</v>
      </c>
      <c r="F55" s="6">
        <v>720</v>
      </c>
      <c r="G55" s="7">
        <v>0.229772269637982</v>
      </c>
      <c r="H55" s="7">
        <v>0.21666666666666601</v>
      </c>
      <c r="I55" s="7">
        <v>0.33611111111111103</v>
      </c>
      <c r="J55" s="7">
        <v>0.20138888888888801</v>
      </c>
    </row>
  </sheetData>
  <mergeCells count="2">
    <mergeCell ref="G2:J2"/>
    <mergeCell ref="M2:P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2023-04-21T21:02:40Z</dcterms:created>
  <dcterms:modified xsi:type="dcterms:W3CDTF">2023-04-21T21:09:04Z</dcterms:modified>
</cp:coreProperties>
</file>