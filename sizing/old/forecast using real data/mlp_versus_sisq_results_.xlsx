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pc\Notebooks\"/>
    </mc:Choice>
  </mc:AlternateContent>
  <xr:revisionPtr revIDLastSave="0" documentId="13_ncr:40009_{98F43DF5-0356-4FBA-97D6-C1FBA8FDB284}" xr6:coauthVersionLast="47" xr6:coauthVersionMax="47" xr10:uidLastSave="{00000000-0000-0000-0000-000000000000}"/>
  <bookViews>
    <workbookView xWindow="-108" yWindow="-108" windowWidth="23256" windowHeight="13176"/>
  </bookViews>
  <sheets>
    <sheet name="mlp_versus_sisq_results_" sheetId="1" r:id="rId1"/>
  </sheets>
  <calcPr calcId="0"/>
</workbook>
</file>

<file path=xl/calcChain.xml><?xml version="1.0" encoding="utf-8"?>
<calcChain xmlns="http://schemas.openxmlformats.org/spreadsheetml/2006/main">
  <c r="M9" i="1" l="1"/>
  <c r="L9" i="1"/>
  <c r="K9" i="1"/>
  <c r="M8" i="1"/>
  <c r="L8" i="1"/>
  <c r="K8" i="1"/>
  <c r="M6" i="1"/>
  <c r="L6" i="1"/>
  <c r="K6" i="1"/>
  <c r="M7" i="1"/>
  <c r="L7" i="1"/>
  <c r="K7" i="1"/>
</calcChain>
</file>

<file path=xl/sharedStrings.xml><?xml version="1.0" encoding="utf-8"?>
<sst xmlns="http://schemas.openxmlformats.org/spreadsheetml/2006/main" count="16" uniqueCount="16">
  <si>
    <t>Store ID</t>
  </si>
  <si>
    <t>Mlp MAE</t>
  </si>
  <si>
    <t>Mlp MSE</t>
  </si>
  <si>
    <t>Mlp R2</t>
  </si>
  <si>
    <t>Sisq MAE</t>
  </si>
  <si>
    <t>Sisq MSE</t>
  </si>
  <si>
    <t>Sisq R2</t>
  </si>
  <si>
    <t>RelMAE Mlp/Sisq</t>
  </si>
  <si>
    <t>Min</t>
  </si>
  <si>
    <t>Max</t>
  </si>
  <si>
    <t>Mean</t>
  </si>
  <si>
    <t>Median</t>
  </si>
  <si>
    <t>MAE</t>
  </si>
  <si>
    <t>MLP</t>
  </si>
  <si>
    <t>Sisqual</t>
  </si>
  <si>
    <t>MLP/Sisqual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</si>
</sst>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64" fontId="0" fillId="0" borderId="0" xfId="0" applyNumberFormat="1"/>
    <xf numFmtId="0" fontId="0" fillId="0" borderId="10" xfId="0" applyBorder="1"/>
    <xf numFmtId="0" fontId="16" fillId="0" borderId="10" xfId="0" applyFont="1" applyBorder="1" applyAlignment="1">
      <alignment horizontal="center"/>
    </xf>
    <xf numFmtId="0" fontId="16" fillId="0" borderId="10" xfId="0" applyFont="1" applyBorder="1"/>
    <xf numFmtId="164" fontId="0" fillId="0" borderId="10" xfId="0" applyNumberFormat="1" applyBorder="1"/>
    <xf numFmtId="0" fontId="16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>
          <bgColor theme="7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7C8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tabSelected="1" topLeftCell="A34" workbookViewId="0">
      <selection activeCell="H55" sqref="H55"/>
    </sheetView>
  </sheetViews>
  <sheetFormatPr defaultRowHeight="14.4" x14ac:dyDescent="0.3"/>
  <cols>
    <col min="1" max="1" width="11.109375" style="1" customWidth="1"/>
    <col min="2" max="2" width="14.109375" customWidth="1"/>
    <col min="3" max="4" width="12.88671875" customWidth="1"/>
    <col min="5" max="5" width="12.6640625" customWidth="1"/>
    <col min="6" max="6" width="11.21875" customWidth="1"/>
    <col min="7" max="7" width="11.6640625" customWidth="1"/>
    <col min="8" max="8" width="21.5546875" customWidth="1"/>
    <col min="11" max="11" width="9.5546875" customWidth="1"/>
    <col min="13" max="13" width="15.44140625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</row>
    <row r="2" spans="1:13" x14ac:dyDescent="0.3">
      <c r="A2" s="1">
        <v>10</v>
      </c>
      <c r="B2" s="3">
        <v>7.8348114659297901</v>
      </c>
      <c r="C2" s="3">
        <v>15.736777788519399</v>
      </c>
      <c r="D2" s="3">
        <v>0.93498885090500095</v>
      </c>
      <c r="E2" s="3">
        <v>9.2138888888888797</v>
      </c>
      <c r="F2" s="3">
        <v>17.368394027978201</v>
      </c>
      <c r="G2" s="3">
        <v>0.92080905163375903</v>
      </c>
      <c r="H2" s="3">
        <v>0.85032623688113496</v>
      </c>
    </row>
    <row r="3" spans="1:13" x14ac:dyDescent="0.3">
      <c r="A3" s="1">
        <v>11</v>
      </c>
      <c r="B3" s="3">
        <v>4.7402800365457303</v>
      </c>
      <c r="C3" s="3">
        <v>9.0313837516305799</v>
      </c>
      <c r="D3" s="3">
        <v>0.97430425970081402</v>
      </c>
      <c r="E3" s="3">
        <v>5.9194444444444398</v>
      </c>
      <c r="F3" s="3">
        <v>11.208131968451299</v>
      </c>
      <c r="G3" s="3">
        <v>0.96042517404873595</v>
      </c>
      <c r="H3" s="3">
        <v>0.80079812912081805</v>
      </c>
    </row>
    <row r="4" spans="1:13" x14ac:dyDescent="0.3">
      <c r="A4" s="1">
        <v>13</v>
      </c>
      <c r="B4" s="3">
        <v>5.5488661321690298</v>
      </c>
      <c r="C4" s="3">
        <v>11.166912723214701</v>
      </c>
      <c r="D4" s="3">
        <v>0.95833332313824005</v>
      </c>
      <c r="E4" s="3">
        <v>8.5374999999999996</v>
      </c>
      <c r="F4" s="3">
        <v>15.881461939422699</v>
      </c>
      <c r="G4" s="3">
        <v>0.91572406546575302</v>
      </c>
      <c r="H4" s="3">
        <v>0.64994039615449894</v>
      </c>
      <c r="J4" s="4"/>
      <c r="K4" s="5" t="s">
        <v>12</v>
      </c>
      <c r="L4" s="5"/>
      <c r="M4" s="5"/>
    </row>
    <row r="5" spans="1:13" x14ac:dyDescent="0.3">
      <c r="A5" s="1">
        <v>14</v>
      </c>
      <c r="B5" s="3">
        <v>4.5179126857837399</v>
      </c>
      <c r="C5" s="3">
        <v>9.1439458697923897</v>
      </c>
      <c r="D5" s="3">
        <v>0.95615498017829503</v>
      </c>
      <c r="E5" s="3">
        <v>8.0152777777777704</v>
      </c>
      <c r="F5" s="3">
        <v>15.4220711247801</v>
      </c>
      <c r="G5" s="3">
        <v>0.87527934550159803</v>
      </c>
      <c r="H5" s="3">
        <v>0.56366264664084098</v>
      </c>
      <c r="J5" s="4"/>
      <c r="K5" s="8" t="s">
        <v>13</v>
      </c>
      <c r="L5" s="8" t="s">
        <v>14</v>
      </c>
      <c r="M5" s="8" t="s">
        <v>15</v>
      </c>
    </row>
    <row r="6" spans="1:13" x14ac:dyDescent="0.3">
      <c r="A6" s="1">
        <v>15</v>
      </c>
      <c r="B6" s="3">
        <v>5.3573818485764804</v>
      </c>
      <c r="C6" s="3">
        <v>9.9716711563999993</v>
      </c>
      <c r="D6" s="3">
        <v>0.962006125631091</v>
      </c>
      <c r="E6" s="3">
        <v>5.1486111111111104</v>
      </c>
      <c r="F6" s="3">
        <v>10.0630650289947</v>
      </c>
      <c r="G6" s="3">
        <v>0.96130647956860604</v>
      </c>
      <c r="H6" s="3">
        <v>1.0405489428041701</v>
      </c>
      <c r="J6" s="6" t="s">
        <v>8</v>
      </c>
      <c r="K6" s="7">
        <f>MIN(B2:B53)</f>
        <v>2.1261762036817</v>
      </c>
      <c r="L6" s="7">
        <f>MIN(E2:E53)</f>
        <v>2.7749999999999999</v>
      </c>
      <c r="M6" s="7">
        <f>MIN(H2:H53)</f>
        <v>0.333082433997134</v>
      </c>
    </row>
    <row r="7" spans="1:13" x14ac:dyDescent="0.3">
      <c r="A7" s="1">
        <v>16</v>
      </c>
      <c r="B7" s="3">
        <v>4.6799413582389304</v>
      </c>
      <c r="C7" s="3">
        <v>8.9761114395281396</v>
      </c>
      <c r="D7" s="3">
        <v>0.948821853781321</v>
      </c>
      <c r="E7" s="3">
        <v>5.2750000000000004</v>
      </c>
      <c r="F7" s="3">
        <v>10.316922452402601</v>
      </c>
      <c r="G7" s="3">
        <v>0.93239039298855997</v>
      </c>
      <c r="H7" s="3">
        <v>0.88719267454766504</v>
      </c>
      <c r="J7" s="6" t="s">
        <v>9</v>
      </c>
      <c r="K7" s="7">
        <f>MAX(B2:B53)</f>
        <v>11.5896922839302</v>
      </c>
      <c r="L7" s="7">
        <f>MAX(E2:E53)</f>
        <v>13.9291666666666</v>
      </c>
      <c r="M7" s="7">
        <f>MAX(H2:H53)</f>
        <v>2.3565598543998298</v>
      </c>
    </row>
    <row r="8" spans="1:13" x14ac:dyDescent="0.3">
      <c r="A8" s="1">
        <v>17</v>
      </c>
      <c r="B8" s="3">
        <v>3.9463074145168902</v>
      </c>
      <c r="C8" s="3">
        <v>7.4685897428385202</v>
      </c>
      <c r="D8" s="3">
        <v>0.964639549752217</v>
      </c>
      <c r="E8" s="3">
        <v>7.1305555555555502</v>
      </c>
      <c r="F8" s="3">
        <v>14.1499901845274</v>
      </c>
      <c r="G8" s="3">
        <v>0.87307333889789396</v>
      </c>
      <c r="H8" s="3">
        <v>0.55343617811690005</v>
      </c>
      <c r="J8" s="6" t="s">
        <v>10</v>
      </c>
      <c r="K8" s="7">
        <f>AVERAGE(B2:B53)</f>
        <v>5.419916838549903</v>
      </c>
      <c r="L8" s="7">
        <f>AVERAGE(E2:E53)</f>
        <v>6.1772435897435827</v>
      </c>
      <c r="M8" s="7">
        <f>AVERAGE(H2:H53)</f>
        <v>0.93438340950589915</v>
      </c>
    </row>
    <row r="9" spans="1:13" x14ac:dyDescent="0.3">
      <c r="A9" s="1">
        <v>18</v>
      </c>
      <c r="B9" s="3">
        <v>5.5356798661668396</v>
      </c>
      <c r="C9" s="3">
        <v>9.9829814688704506</v>
      </c>
      <c r="D9" s="3">
        <v>0.97524298460782599</v>
      </c>
      <c r="E9" s="3">
        <v>10.137499999999999</v>
      </c>
      <c r="F9" s="3">
        <v>18.184967845876301</v>
      </c>
      <c r="G9" s="3">
        <v>0.91785089584678203</v>
      </c>
      <c r="H9" s="3">
        <v>0.54605966620634705</v>
      </c>
      <c r="J9" s="6" t="s">
        <v>11</v>
      </c>
      <c r="K9" s="7">
        <f>MEDIAN(B2:B53)</f>
        <v>4.981368415085865</v>
      </c>
      <c r="L9" s="7">
        <f>MEDIAN(E2:E53)</f>
        <v>5.55972222222222</v>
      </c>
      <c r="M9" s="7">
        <f>MEDIAN(H2:H53)</f>
        <v>0.91406259198816453</v>
      </c>
    </row>
    <row r="10" spans="1:13" x14ac:dyDescent="0.3">
      <c r="A10" s="1">
        <v>19</v>
      </c>
      <c r="B10" s="3">
        <v>8.2900818156109608</v>
      </c>
      <c r="C10" s="3">
        <v>15.7467674406558</v>
      </c>
      <c r="D10" s="3">
        <v>0.93471944980117905</v>
      </c>
      <c r="E10" s="3">
        <v>11.0875</v>
      </c>
      <c r="F10" s="3">
        <v>21.005323399345901</v>
      </c>
      <c r="G10" s="3">
        <v>0.88383916541535601</v>
      </c>
      <c r="H10" s="3">
        <v>0.74769621786795604</v>
      </c>
    </row>
    <row r="11" spans="1:13" x14ac:dyDescent="0.3">
      <c r="A11" s="1">
        <v>20</v>
      </c>
      <c r="B11" s="3">
        <v>6.6427418842842103</v>
      </c>
      <c r="C11" s="3">
        <v>13.536672418804301</v>
      </c>
      <c r="D11" s="3">
        <v>0.95209025302216599</v>
      </c>
      <c r="E11" s="3">
        <v>9.5069444444444393</v>
      </c>
      <c r="F11" s="3">
        <v>18.337537396765601</v>
      </c>
      <c r="G11" s="3">
        <v>0.91208113685783498</v>
      </c>
      <c r="H11" s="3">
        <v>0.69872522376693003</v>
      </c>
    </row>
    <row r="12" spans="1:13" x14ac:dyDescent="0.3">
      <c r="A12" s="1">
        <v>21</v>
      </c>
      <c r="B12" s="3">
        <v>3.80853903219099</v>
      </c>
      <c r="C12" s="3">
        <v>7.2974309643898598</v>
      </c>
      <c r="D12" s="3">
        <v>0.963749602199374</v>
      </c>
      <c r="E12" s="3">
        <v>4.7666666666666604</v>
      </c>
      <c r="F12" s="3">
        <v>9.0506291985081795</v>
      </c>
      <c r="G12" s="3">
        <v>0.94423902856727904</v>
      </c>
      <c r="H12" s="3">
        <v>0.79899420255755105</v>
      </c>
    </row>
    <row r="13" spans="1:13" x14ac:dyDescent="0.3">
      <c r="A13" s="1">
        <v>22</v>
      </c>
      <c r="B13" s="3">
        <v>4.6203305682249898</v>
      </c>
      <c r="C13" s="3">
        <v>8.5512429638167493</v>
      </c>
      <c r="D13" s="3">
        <v>0.91637444826189296</v>
      </c>
      <c r="E13" s="3">
        <v>4.8569444444444398</v>
      </c>
      <c r="F13" s="3">
        <v>9.2495495385811406</v>
      </c>
      <c r="G13" s="3">
        <v>0.90215882279269399</v>
      </c>
      <c r="H13" s="3">
        <v>0.95128338836774295</v>
      </c>
    </row>
    <row r="14" spans="1:13" x14ac:dyDescent="0.3">
      <c r="A14" s="1">
        <v>25</v>
      </c>
      <c r="B14" s="3">
        <v>4.5043406154145504</v>
      </c>
      <c r="C14" s="3">
        <v>8.5642729209667099</v>
      </c>
      <c r="D14" s="3">
        <v>0.95704787575547101</v>
      </c>
      <c r="E14" s="3">
        <v>6.36527777777777</v>
      </c>
      <c r="F14" s="3">
        <v>13.3094056132412</v>
      </c>
      <c r="G14" s="3">
        <v>0.89626603665221005</v>
      </c>
      <c r="H14" s="3">
        <v>0.70764242703436098</v>
      </c>
    </row>
    <row r="15" spans="1:13" x14ac:dyDescent="0.3">
      <c r="A15" s="1">
        <v>26</v>
      </c>
      <c r="B15" s="3">
        <v>3.9190052333455001</v>
      </c>
      <c r="C15" s="3">
        <v>7.4200010657795898</v>
      </c>
      <c r="D15" s="3">
        <v>0.95937565394783497</v>
      </c>
      <c r="E15" s="3">
        <v>6.2055555555555504</v>
      </c>
      <c r="F15" s="3">
        <v>11.397489977086</v>
      </c>
      <c r="G15" s="3">
        <v>0.90414894759582198</v>
      </c>
      <c r="H15" s="3">
        <v>0.631531729634907</v>
      </c>
    </row>
    <row r="16" spans="1:13" x14ac:dyDescent="0.3">
      <c r="A16" s="1">
        <v>30</v>
      </c>
      <c r="B16" s="3">
        <v>3.2179757621123901</v>
      </c>
      <c r="C16" s="3">
        <v>6.0812107608734101</v>
      </c>
      <c r="D16" s="3">
        <v>0.95140939549458003</v>
      </c>
      <c r="E16" s="3">
        <v>5.1305555555555502</v>
      </c>
      <c r="F16" s="3">
        <v>9.6689652439590894</v>
      </c>
      <c r="G16" s="3">
        <v>0.87716215476390802</v>
      </c>
      <c r="H16" s="3">
        <v>0.62721779878747297</v>
      </c>
    </row>
    <row r="17" spans="1:8" x14ac:dyDescent="0.3">
      <c r="A17" s="1">
        <v>31</v>
      </c>
      <c r="B17" s="3">
        <v>8.1885487764184308</v>
      </c>
      <c r="C17" s="3">
        <v>14.861724858922701</v>
      </c>
      <c r="D17" s="3">
        <v>0.93875347707905699</v>
      </c>
      <c r="E17" s="3">
        <v>6.87083333333333</v>
      </c>
      <c r="F17" s="3">
        <v>13.372910013240199</v>
      </c>
      <c r="G17" s="3">
        <v>0.95040991542796605</v>
      </c>
      <c r="H17" s="3">
        <v>1.1917839334993401</v>
      </c>
    </row>
    <row r="18" spans="1:8" x14ac:dyDescent="0.3">
      <c r="A18" s="1">
        <v>32</v>
      </c>
      <c r="B18" s="3">
        <v>3.3192907218625001</v>
      </c>
      <c r="C18" s="3">
        <v>6.4255692310342098</v>
      </c>
      <c r="D18" s="3">
        <v>0.93515704498547703</v>
      </c>
      <c r="E18" s="3">
        <v>3.1083333333333298</v>
      </c>
      <c r="F18" s="3">
        <v>6.1103282326820301</v>
      </c>
      <c r="G18" s="3">
        <v>0.94136341564756598</v>
      </c>
      <c r="H18" s="3">
        <v>1.06786832874933</v>
      </c>
    </row>
    <row r="19" spans="1:8" x14ac:dyDescent="0.3">
      <c r="A19" s="1">
        <v>33</v>
      </c>
      <c r="B19" s="3">
        <v>6.5128950742689504</v>
      </c>
      <c r="C19" s="3">
        <v>12.2911759026962</v>
      </c>
      <c r="D19" s="3">
        <v>0.958903347817193</v>
      </c>
      <c r="E19" s="3">
        <v>7.99444444444444</v>
      </c>
      <c r="F19" s="3">
        <v>15.707835977979601</v>
      </c>
      <c r="G19" s="3">
        <v>0.93287994678794695</v>
      </c>
      <c r="H19" s="3">
        <v>0.81467763263961901</v>
      </c>
    </row>
    <row r="20" spans="1:8" x14ac:dyDescent="0.3">
      <c r="A20" s="1">
        <v>34</v>
      </c>
      <c r="B20" s="3">
        <v>4.0388900999774604</v>
      </c>
      <c r="C20" s="3">
        <v>7.9621437466909901</v>
      </c>
      <c r="D20" s="3">
        <v>0.97001377428433999</v>
      </c>
      <c r="E20" s="3">
        <v>4.1388888888888804</v>
      </c>
      <c r="F20" s="3">
        <v>7.8993670632525896</v>
      </c>
      <c r="G20" s="3">
        <v>0.97048475670454204</v>
      </c>
      <c r="H20" s="3">
        <v>0.97583921878650104</v>
      </c>
    </row>
    <row r="21" spans="1:8" x14ac:dyDescent="0.3">
      <c r="A21" s="1">
        <v>35</v>
      </c>
      <c r="B21" s="3">
        <v>5.91653678373887</v>
      </c>
      <c r="C21" s="3">
        <v>10.872435316240001</v>
      </c>
      <c r="D21" s="3">
        <v>0.947362181673022</v>
      </c>
      <c r="E21" s="3">
        <v>5.95</v>
      </c>
      <c r="F21" s="3">
        <v>11.4387256477478</v>
      </c>
      <c r="G21" s="3">
        <v>0.94173610648435102</v>
      </c>
      <c r="H21" s="3">
        <v>0.99437593004014702</v>
      </c>
    </row>
    <row r="22" spans="1:8" x14ac:dyDescent="0.3">
      <c r="A22" s="1">
        <v>37</v>
      </c>
      <c r="B22" s="3">
        <v>8.7690540796813501</v>
      </c>
      <c r="C22" s="3">
        <v>17.0379527701533</v>
      </c>
      <c r="D22" s="3">
        <v>0.96449949658213496</v>
      </c>
      <c r="E22" s="3">
        <v>13.9291666666666</v>
      </c>
      <c r="F22" s="3">
        <v>26.4064649070807</v>
      </c>
      <c r="G22" s="3">
        <v>0.91472529575688999</v>
      </c>
      <c r="H22" s="3">
        <v>0.62954620972884301</v>
      </c>
    </row>
    <row r="23" spans="1:8" x14ac:dyDescent="0.3">
      <c r="A23" s="1">
        <v>38</v>
      </c>
      <c r="B23" s="3">
        <v>4.6729709274284401</v>
      </c>
      <c r="C23" s="3">
        <v>9.2362934887840495</v>
      </c>
      <c r="D23" s="3">
        <v>0.91906729370283402</v>
      </c>
      <c r="E23" s="3">
        <v>3.7847222222222201</v>
      </c>
      <c r="F23" s="3">
        <v>7.3806240326351196</v>
      </c>
      <c r="G23" s="3">
        <v>0.94832091923113104</v>
      </c>
      <c r="H23" s="3">
        <v>1.2346932358710001</v>
      </c>
    </row>
    <row r="24" spans="1:8" x14ac:dyDescent="0.3">
      <c r="A24" s="1">
        <v>39</v>
      </c>
      <c r="B24" s="3">
        <v>6.26905120685994</v>
      </c>
      <c r="C24" s="3">
        <v>11.847438559883599</v>
      </c>
      <c r="D24" s="3">
        <v>0.94079544189839803</v>
      </c>
      <c r="E24" s="3">
        <v>5.1986111111111102</v>
      </c>
      <c r="F24" s="3">
        <v>10.5106427544233</v>
      </c>
      <c r="G24" s="3">
        <v>0.95340226965118402</v>
      </c>
      <c r="H24" s="3">
        <v>1.2059088615920801</v>
      </c>
    </row>
    <row r="25" spans="1:8" x14ac:dyDescent="0.3">
      <c r="A25" s="1">
        <v>40</v>
      </c>
      <c r="B25" s="3">
        <v>6.5929925811299999</v>
      </c>
      <c r="C25" s="3">
        <v>12.3006529504492</v>
      </c>
      <c r="D25" s="3">
        <v>0.95104028688420394</v>
      </c>
      <c r="E25" s="3">
        <v>5.8444444444444397</v>
      </c>
      <c r="F25" s="3">
        <v>10.9903998511832</v>
      </c>
      <c r="G25" s="3">
        <v>0.96091505369955499</v>
      </c>
      <c r="H25" s="3">
        <v>1.12807857852034</v>
      </c>
    </row>
    <row r="26" spans="1:8" x14ac:dyDescent="0.3">
      <c r="A26" s="1">
        <v>41</v>
      </c>
      <c r="B26" s="3">
        <v>7.6640187462400204</v>
      </c>
      <c r="C26" s="3">
        <v>14.401673906310799</v>
      </c>
      <c r="D26" s="3">
        <v>0.92788061314175496</v>
      </c>
      <c r="E26" s="3">
        <v>9.9486111111111093</v>
      </c>
      <c r="F26" s="3">
        <v>17.490830931281302</v>
      </c>
      <c r="G26" s="3">
        <v>0.89362318982759403</v>
      </c>
      <c r="H26" s="3">
        <v>0.77036067252447504</v>
      </c>
    </row>
    <row r="27" spans="1:8" x14ac:dyDescent="0.3">
      <c r="A27" s="1">
        <v>42</v>
      </c>
      <c r="B27" s="3">
        <v>5.4447205180914198</v>
      </c>
      <c r="C27" s="3">
        <v>10.539478461276399</v>
      </c>
      <c r="D27" s="3">
        <v>0.94047281245496805</v>
      </c>
      <c r="E27" s="3">
        <v>4.5333333333333297</v>
      </c>
      <c r="F27" s="3">
        <v>8.8526518311997595</v>
      </c>
      <c r="G27" s="3">
        <v>0.95800245627625402</v>
      </c>
      <c r="H27" s="3">
        <v>1.20104129075546</v>
      </c>
    </row>
    <row r="28" spans="1:8" x14ac:dyDescent="0.3">
      <c r="A28" s="1">
        <v>43</v>
      </c>
      <c r="B28" s="3">
        <v>5.1283787674812897</v>
      </c>
      <c r="C28" s="3">
        <v>10.2665903957773</v>
      </c>
      <c r="D28" s="3">
        <v>0.95859509515593999</v>
      </c>
      <c r="E28" s="3">
        <v>4.7041666666666604</v>
      </c>
      <c r="F28" s="3">
        <v>9.0556152008942306</v>
      </c>
      <c r="G28" s="3">
        <v>0.96778669832692099</v>
      </c>
      <c r="H28" s="3">
        <v>1.0901779488002701</v>
      </c>
    </row>
    <row r="29" spans="1:8" x14ac:dyDescent="0.3">
      <c r="A29" s="1">
        <v>45</v>
      </c>
      <c r="B29" s="3">
        <v>4.0982732452758901</v>
      </c>
      <c r="C29" s="3">
        <v>7.8522026686936002</v>
      </c>
      <c r="D29" s="3">
        <v>0.94789400275256896</v>
      </c>
      <c r="E29" s="3">
        <v>4.67638888888888</v>
      </c>
      <c r="F29" s="3">
        <v>9.18581333724274</v>
      </c>
      <c r="G29" s="3">
        <v>0.92869172291769297</v>
      </c>
      <c r="H29" s="3">
        <v>0.87637562714542305</v>
      </c>
    </row>
    <row r="30" spans="1:8" x14ac:dyDescent="0.3">
      <c r="A30" s="1">
        <v>49</v>
      </c>
      <c r="B30" s="3">
        <v>5.9023084073845897</v>
      </c>
      <c r="C30" s="3">
        <v>11.5010159730039</v>
      </c>
      <c r="D30" s="3">
        <v>0.948074857020482</v>
      </c>
      <c r="E30" s="3">
        <v>6.3375000000000004</v>
      </c>
      <c r="F30" s="3">
        <v>12.0957407563342</v>
      </c>
      <c r="G30" s="3">
        <v>0.94256584601707505</v>
      </c>
      <c r="H30" s="3">
        <v>0.93133071516916699</v>
      </c>
    </row>
    <row r="31" spans="1:8" x14ac:dyDescent="0.3">
      <c r="A31" s="1">
        <v>50</v>
      </c>
      <c r="B31" s="3">
        <v>3.4053176444933202</v>
      </c>
      <c r="C31" s="3">
        <v>6.5006850342647997</v>
      </c>
      <c r="D31" s="3">
        <v>0.96190082546016797</v>
      </c>
      <c r="E31" s="3">
        <v>3.5833333333333299</v>
      </c>
      <c r="F31" s="3">
        <v>6.9167670675443897</v>
      </c>
      <c r="G31" s="3">
        <v>0.95686760058842102</v>
      </c>
      <c r="H31" s="3">
        <v>0.95032120311441504</v>
      </c>
    </row>
    <row r="32" spans="1:8" x14ac:dyDescent="0.3">
      <c r="A32" s="1">
        <v>51</v>
      </c>
      <c r="B32" s="3">
        <v>4.8343580626904403</v>
      </c>
      <c r="C32" s="3">
        <v>9.3839146003970395</v>
      </c>
      <c r="D32" s="3">
        <v>0.95888974524828696</v>
      </c>
      <c r="E32" s="3">
        <v>4.9472222222222202</v>
      </c>
      <c r="F32" s="3">
        <v>9.4698351505069898</v>
      </c>
      <c r="G32" s="3">
        <v>0.95813347526783899</v>
      </c>
      <c r="H32" s="3">
        <v>0.97718635742198701</v>
      </c>
    </row>
    <row r="33" spans="1:8" x14ac:dyDescent="0.3">
      <c r="A33" s="1">
        <v>52</v>
      </c>
      <c r="B33" s="3">
        <v>8.4921256925084894</v>
      </c>
      <c r="C33" s="3">
        <v>15.7819729363883</v>
      </c>
      <c r="D33" s="3">
        <v>0.77424444388982105</v>
      </c>
      <c r="E33" s="3">
        <v>4.6958333333333302</v>
      </c>
      <c r="F33" s="3">
        <v>9.1794607684765399</v>
      </c>
      <c r="G33" s="3">
        <v>0.92362518009571304</v>
      </c>
      <c r="H33" s="3">
        <v>1.8084384793274499</v>
      </c>
    </row>
    <row r="34" spans="1:8" x14ac:dyDescent="0.3">
      <c r="A34" s="1">
        <v>53</v>
      </c>
      <c r="B34" s="3">
        <v>3.1060430921106499</v>
      </c>
      <c r="C34" s="3">
        <v>6.0371155368539702</v>
      </c>
      <c r="D34" s="3">
        <v>0.95885124373872399</v>
      </c>
      <c r="E34" s="3">
        <v>3.11805555555555</v>
      </c>
      <c r="F34" s="3">
        <v>5.9732040536605302</v>
      </c>
      <c r="G34" s="3">
        <v>0.95971786870961495</v>
      </c>
      <c r="H34" s="3">
        <v>0.99614745047646802</v>
      </c>
    </row>
    <row r="35" spans="1:8" x14ac:dyDescent="0.3">
      <c r="A35" s="1">
        <v>54</v>
      </c>
      <c r="B35" s="3">
        <v>4.3576115268433799</v>
      </c>
      <c r="C35" s="3">
        <v>8.8101033508997197</v>
      </c>
      <c r="D35" s="3">
        <v>0.91144502715885201</v>
      </c>
      <c r="E35" s="3">
        <v>4.23888888888888</v>
      </c>
      <c r="F35" s="3">
        <v>8.4297752704986806</v>
      </c>
      <c r="G35" s="3">
        <v>0.91892574963240803</v>
      </c>
      <c r="H35" s="3">
        <v>1.0280079617717</v>
      </c>
    </row>
    <row r="36" spans="1:8" x14ac:dyDescent="0.3">
      <c r="A36" s="1">
        <v>55</v>
      </c>
      <c r="B36" s="3">
        <v>6.4851000464774398</v>
      </c>
      <c r="C36" s="3">
        <v>12.787154224347599</v>
      </c>
      <c r="D36" s="3">
        <v>0.93914343738044903</v>
      </c>
      <c r="E36" s="3">
        <v>7.1333333333333302</v>
      </c>
      <c r="F36" s="3">
        <v>14.0037693338456</v>
      </c>
      <c r="G36" s="3">
        <v>0.92701232843606995</v>
      </c>
      <c r="H36" s="3">
        <v>0.90912617473982804</v>
      </c>
    </row>
    <row r="37" spans="1:8" x14ac:dyDescent="0.3">
      <c r="A37" s="1">
        <v>56</v>
      </c>
      <c r="B37" s="3">
        <v>4.6473567594532499</v>
      </c>
      <c r="C37" s="3">
        <v>8.5822695972125391</v>
      </c>
      <c r="D37" s="3">
        <v>0.94883900719373004</v>
      </c>
      <c r="E37" s="3">
        <v>6.93611111111111</v>
      </c>
      <c r="F37" s="3">
        <v>12.9081154489896</v>
      </c>
      <c r="G37" s="3">
        <v>0.88426616624538001</v>
      </c>
      <c r="H37" s="3">
        <v>0.67002340144299999</v>
      </c>
    </row>
    <row r="38" spans="1:8" x14ac:dyDescent="0.3">
      <c r="A38" s="1">
        <v>58</v>
      </c>
      <c r="B38" s="3">
        <v>6.5451368327674899</v>
      </c>
      <c r="C38" s="3">
        <v>12.620116677976</v>
      </c>
      <c r="D38" s="3">
        <v>0.90539002023922299</v>
      </c>
      <c r="E38" s="3">
        <v>3.9013888888888801</v>
      </c>
      <c r="F38" s="3">
        <v>7.5017590529747604</v>
      </c>
      <c r="G38" s="3">
        <v>0.96656999578329705</v>
      </c>
      <c r="H38" s="3">
        <v>1.6776427624039101</v>
      </c>
    </row>
    <row r="39" spans="1:8" x14ac:dyDescent="0.3">
      <c r="A39" s="1">
        <v>60</v>
      </c>
      <c r="B39" s="3">
        <v>5.31298841085452</v>
      </c>
      <c r="C39" s="3">
        <v>9.7064611980266893</v>
      </c>
      <c r="D39" s="3">
        <v>0.95280211489031696</v>
      </c>
      <c r="E39" s="3">
        <v>6.1944444444444402</v>
      </c>
      <c r="F39" s="3">
        <v>11.622177076606601</v>
      </c>
      <c r="G39" s="3">
        <v>0.93233319524957403</v>
      </c>
      <c r="H39" s="3">
        <v>0.85770216498099905</v>
      </c>
    </row>
    <row r="40" spans="1:8" x14ac:dyDescent="0.3">
      <c r="A40" s="1">
        <v>61</v>
      </c>
      <c r="B40" s="3">
        <v>5.3025813267645701</v>
      </c>
      <c r="C40" s="3">
        <v>10.1805891383956</v>
      </c>
      <c r="D40" s="3">
        <v>0.95079765090332502</v>
      </c>
      <c r="E40" s="3">
        <v>5.2055555555555504</v>
      </c>
      <c r="F40" s="3">
        <v>10.286587815640701</v>
      </c>
      <c r="G40" s="3">
        <v>0.94976774296285604</v>
      </c>
      <c r="H40" s="3">
        <v>1.0186388888128299</v>
      </c>
    </row>
    <row r="41" spans="1:8" x14ac:dyDescent="0.3">
      <c r="A41" s="1">
        <v>62</v>
      </c>
      <c r="B41" s="3">
        <v>6.0009043448680099</v>
      </c>
      <c r="C41" s="3">
        <v>11.684244178917099</v>
      </c>
      <c r="D41" s="3">
        <v>0.88837738992627502</v>
      </c>
      <c r="E41" s="3">
        <v>6.2333333333333298</v>
      </c>
      <c r="F41" s="3">
        <v>12.358083274610999</v>
      </c>
      <c r="G41" s="3">
        <v>0.87513142387985299</v>
      </c>
      <c r="H41" s="3">
        <v>0.96271192698417296</v>
      </c>
    </row>
    <row r="42" spans="1:8" x14ac:dyDescent="0.3">
      <c r="A42" s="1">
        <v>63</v>
      </c>
      <c r="B42" s="3">
        <v>4.8280376247376697</v>
      </c>
      <c r="C42" s="3">
        <v>9.4223803461244096</v>
      </c>
      <c r="D42" s="3">
        <v>0.970821486797667</v>
      </c>
      <c r="E42" s="3">
        <v>10.1875</v>
      </c>
      <c r="F42" s="3">
        <v>19.339259149317002</v>
      </c>
      <c r="G42" s="3">
        <v>0.87708027994939397</v>
      </c>
      <c r="H42" s="3">
        <v>0.47391780365523201</v>
      </c>
    </row>
    <row r="43" spans="1:8" x14ac:dyDescent="0.3">
      <c r="A43" s="1">
        <v>64</v>
      </c>
      <c r="B43" s="3">
        <v>11.5896922839302</v>
      </c>
      <c r="C43" s="3">
        <v>20.589632994520301</v>
      </c>
      <c r="D43" s="3">
        <v>0.67415172743597995</v>
      </c>
      <c r="E43" s="3">
        <v>4.9180555555555499</v>
      </c>
      <c r="F43" s="3">
        <v>10.2462052596179</v>
      </c>
      <c r="G43" s="3">
        <v>0.91930542929440295</v>
      </c>
      <c r="H43" s="3">
        <v>2.3565598543998298</v>
      </c>
    </row>
    <row r="44" spans="1:8" x14ac:dyDescent="0.3">
      <c r="A44" s="1">
        <v>65</v>
      </c>
      <c r="B44" s="3">
        <v>6.3791319343333397</v>
      </c>
      <c r="C44" s="3">
        <v>12.244184332280099</v>
      </c>
      <c r="D44" s="3">
        <v>0.94298350838987799</v>
      </c>
      <c r="E44" s="3">
        <v>6.2236111111111097</v>
      </c>
      <c r="F44" s="3">
        <v>12.2352518931523</v>
      </c>
      <c r="G44" s="3">
        <v>0.94306666796254601</v>
      </c>
      <c r="H44" s="3">
        <v>1.02498884015175</v>
      </c>
    </row>
    <row r="45" spans="1:8" x14ac:dyDescent="0.3">
      <c r="A45" s="1">
        <v>66</v>
      </c>
      <c r="B45" s="3">
        <v>4.7622433330034504</v>
      </c>
      <c r="C45" s="3">
        <v>9.0191916608321492</v>
      </c>
      <c r="D45" s="3">
        <v>0.93112852626901499</v>
      </c>
      <c r="E45" s="3">
        <v>3.6069444444444398</v>
      </c>
      <c r="F45" s="3">
        <v>7.0954797817577697</v>
      </c>
      <c r="G45" s="3">
        <v>0.95737467746990601</v>
      </c>
      <c r="H45" s="3">
        <v>1.3202984981757699</v>
      </c>
    </row>
    <row r="46" spans="1:8" x14ac:dyDescent="0.3">
      <c r="A46" s="1">
        <v>67</v>
      </c>
      <c r="B46" s="3">
        <v>2.96499054723522</v>
      </c>
      <c r="C46" s="3">
        <v>5.65370319981007</v>
      </c>
      <c r="D46" s="3">
        <v>0.94519951755152098</v>
      </c>
      <c r="E46" s="3">
        <v>3.1902777777777702</v>
      </c>
      <c r="F46" s="3">
        <v>6.1251984094848302</v>
      </c>
      <c r="G46" s="3">
        <v>0.93567812547362395</v>
      </c>
      <c r="H46" s="3">
        <v>0.92938319286432902</v>
      </c>
    </row>
    <row r="47" spans="1:8" x14ac:dyDescent="0.3">
      <c r="A47" s="1">
        <v>68</v>
      </c>
      <c r="B47" s="3">
        <v>10.1151471797931</v>
      </c>
      <c r="C47" s="3">
        <v>19.8028916357915</v>
      </c>
      <c r="D47" s="3">
        <v>0.92523431333998696</v>
      </c>
      <c r="E47" s="3">
        <v>12.1458333333333</v>
      </c>
      <c r="F47" s="3">
        <v>25.906053561110198</v>
      </c>
      <c r="G47" s="3">
        <v>0.87204783975318401</v>
      </c>
      <c r="H47" s="3">
        <v>0.83280800108073705</v>
      </c>
    </row>
    <row r="48" spans="1:8" x14ac:dyDescent="0.3">
      <c r="A48" s="1">
        <v>69</v>
      </c>
      <c r="B48" s="3">
        <v>3.2477783425153</v>
      </c>
      <c r="C48" s="3">
        <v>6.51911282205098</v>
      </c>
      <c r="D48" s="3">
        <v>0.95388052750983898</v>
      </c>
      <c r="E48" s="3">
        <v>3.61805555555555</v>
      </c>
      <c r="F48" s="3">
        <v>7.1356888634213496</v>
      </c>
      <c r="G48" s="3">
        <v>0.94474403759647496</v>
      </c>
      <c r="H48" s="3">
        <v>0.89765850541689796</v>
      </c>
    </row>
    <row r="49" spans="1:8" x14ac:dyDescent="0.3">
      <c r="A49" s="1">
        <v>71</v>
      </c>
      <c r="B49" s="3">
        <v>3.72822062945886</v>
      </c>
      <c r="C49" s="3">
        <v>7.2755677504079301</v>
      </c>
      <c r="D49" s="3">
        <v>0.96849089959323098</v>
      </c>
      <c r="E49" s="3">
        <v>5.2222222222222197</v>
      </c>
      <c r="F49" s="3">
        <v>9.8010770383214005</v>
      </c>
      <c r="G49" s="3">
        <v>0.94281925211394702</v>
      </c>
      <c r="H49" s="3">
        <v>0.71391458861978296</v>
      </c>
    </row>
    <row r="50" spans="1:8" x14ac:dyDescent="0.3">
      <c r="A50" s="1">
        <v>72</v>
      </c>
      <c r="B50" s="3">
        <v>4.0078567902813997</v>
      </c>
      <c r="C50" s="3">
        <v>8.0626037228670295</v>
      </c>
      <c r="D50" s="3">
        <v>0.96452453643599001</v>
      </c>
      <c r="E50" s="3">
        <v>4.3611111111111098</v>
      </c>
      <c r="F50" s="3">
        <v>8.6781974574856893</v>
      </c>
      <c r="G50" s="3">
        <v>0.95890050319009701</v>
      </c>
      <c r="H50" s="3">
        <v>0.91899900923650102</v>
      </c>
    </row>
    <row r="51" spans="1:8" x14ac:dyDescent="0.3">
      <c r="A51" s="1">
        <v>73</v>
      </c>
      <c r="B51" s="3">
        <v>2.1261762036817</v>
      </c>
      <c r="C51" s="3">
        <v>4.4248035474989598</v>
      </c>
      <c r="D51" s="3">
        <v>0.90868500274151498</v>
      </c>
      <c r="E51" s="3">
        <v>6.3833333333333302</v>
      </c>
      <c r="F51" s="3">
        <v>12.1217206332727</v>
      </c>
      <c r="G51" s="3">
        <v>0.31469695028155498</v>
      </c>
      <c r="H51" s="3">
        <v>0.333082433997134</v>
      </c>
    </row>
    <row r="52" spans="1:8" x14ac:dyDescent="0.3">
      <c r="A52" s="1">
        <v>74</v>
      </c>
      <c r="B52" s="3">
        <v>2.2665351409983701</v>
      </c>
      <c r="C52" s="3">
        <v>4.5839814636363396</v>
      </c>
      <c r="D52" s="3">
        <v>0.94709827872835395</v>
      </c>
      <c r="E52" s="3">
        <v>2.7749999999999999</v>
      </c>
      <c r="F52" s="3">
        <v>5.6129809865663596</v>
      </c>
      <c r="G52" s="3">
        <v>0.92068209412873403</v>
      </c>
      <c r="H52" s="3">
        <v>0.81676942017959597</v>
      </c>
    </row>
    <row r="53" spans="1:8" x14ac:dyDescent="0.3">
      <c r="A53" s="1">
        <v>75</v>
      </c>
      <c r="B53" s="3">
        <v>7.6482161998445104</v>
      </c>
      <c r="C53" s="3">
        <v>15.714900136413601</v>
      </c>
      <c r="D53" s="3">
        <v>0.88367414755738005</v>
      </c>
      <c r="E53" s="3">
        <v>8.0805555555555504</v>
      </c>
      <c r="F53" s="3">
        <v>16.3333333333333</v>
      </c>
      <c r="G53" s="3">
        <v>0.87433838317256296</v>
      </c>
      <c r="H53" s="3">
        <v>0.94649633274115696</v>
      </c>
    </row>
  </sheetData>
  <mergeCells count="1">
    <mergeCell ref="K4:M4"/>
  </mergeCells>
  <conditionalFormatting sqref="H2:H53">
    <cfRule type="cellIs" dxfId="0" priority="3" operator="between">
      <formula>1</formula>
      <formula>1.25</formula>
    </cfRule>
    <cfRule type="cellIs" dxfId="1" priority="2" operator="between">
      <formula>1.25</formula>
      <formula>1.5</formula>
    </cfRule>
    <cfRule type="cellIs" dxfId="2" priority="1" operator="greaterThan">
      <formula>1.5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mlp_versus_sisq_results_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2023-04-18T16:21:42Z</dcterms:created>
  <dcterms:modified xsi:type="dcterms:W3CDTF">2023-04-18T16:35:08Z</dcterms:modified>
</cp:coreProperties>
</file>