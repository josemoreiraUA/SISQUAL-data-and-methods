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"/>
    </mc:Choice>
  </mc:AlternateContent>
  <xr:revisionPtr revIDLastSave="0" documentId="13_ncr:1_{DB899DFF-425E-4D26-84DC-852B13F82C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lp_versus_sisq_results_" sheetId="1" r:id="rId1"/>
  </sheets>
  <definedNames>
    <definedName name="_xlchart.v1.0" hidden="1">mlp_versus_sisq_results_!$B$5:$B$56</definedName>
    <definedName name="_xlchart.v1.1" hidden="1">mlp_versus_sisq_results_!$C$4</definedName>
    <definedName name="_xlchart.v1.2" hidden="1">mlp_versus_sisq_results_!$C$5:$C$56</definedName>
    <definedName name="_xlchart.v1.3" hidden="1">mlp_versus_sisq_results_!$D$4</definedName>
    <definedName name="_xlchart.v1.4" hidden="1">mlp_versus_sisq_results_!$D$5:$D$56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J11" i="1"/>
  <c r="I11" i="1"/>
  <c r="H11" i="1"/>
  <c r="J9" i="1"/>
  <c r="I9" i="1"/>
  <c r="H9" i="1"/>
  <c r="J10" i="1"/>
  <c r="I10" i="1"/>
  <c r="H10" i="1"/>
</calcChain>
</file>

<file path=xl/sharedStrings.xml><?xml version="1.0" encoding="utf-8"?>
<sst xmlns="http://schemas.openxmlformats.org/spreadsheetml/2006/main" count="17" uniqueCount="14">
  <si>
    <t>Store ID</t>
  </si>
  <si>
    <t>Min</t>
  </si>
  <si>
    <t>Max</t>
  </si>
  <si>
    <t>Mean</t>
  </si>
  <si>
    <t>Median</t>
  </si>
  <si>
    <t>MAE</t>
  </si>
  <si>
    <t>MLP</t>
  </si>
  <si>
    <t>Sisqual</t>
  </si>
  <si>
    <t>MLP/Sisqual</t>
  </si>
  <si>
    <t>MLP/SISQUAL</t>
  </si>
  <si>
    <t>Forecast Test Results</t>
  </si>
  <si>
    <t>Nº Stores</t>
  </si>
  <si>
    <t>Period</t>
  </si>
  <si>
    <t>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</si>
</sst>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164" fontId="0" fillId="0" borderId="10" xfId="0" applyNumberFormat="1" applyBorder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16" fillId="0" borderId="10" xfId="0" applyFont="1" applyFill="1" applyBorder="1" applyAlignment="1">
      <alignment horizontal="left"/>
    </xf>
    <xf numFmtId="0" fontId="16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mlp_versus_sisq_results_!$C$4</c:f>
              <c:strCache>
                <c:ptCount val="1"/>
                <c:pt idx="0">
                  <c:v>MLP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mlp_versus_sisq_results_!$B$5:$B$56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mlp_versus_sisq_results_!$C$5:$C$56</c:f>
              <c:numCache>
                <c:formatCode>0.000</c:formatCode>
                <c:ptCount val="52"/>
                <c:pt idx="0">
                  <c:v>7.8348114659297901</c:v>
                </c:pt>
                <c:pt idx="1">
                  <c:v>4.7402800365457303</c:v>
                </c:pt>
                <c:pt idx="2">
                  <c:v>5.5488661321690298</c:v>
                </c:pt>
                <c:pt idx="3">
                  <c:v>4.5179126857837399</c:v>
                </c:pt>
                <c:pt idx="4">
                  <c:v>5.3573818485764804</c:v>
                </c:pt>
                <c:pt idx="5">
                  <c:v>4.6799413582389304</c:v>
                </c:pt>
                <c:pt idx="6">
                  <c:v>3.9463074145168902</c:v>
                </c:pt>
                <c:pt idx="7">
                  <c:v>5.5356798661668396</c:v>
                </c:pt>
                <c:pt idx="8">
                  <c:v>8.2900818156109608</c:v>
                </c:pt>
                <c:pt idx="9">
                  <c:v>6.6427418842842103</c:v>
                </c:pt>
                <c:pt idx="10">
                  <c:v>3.80853903219099</c:v>
                </c:pt>
                <c:pt idx="11">
                  <c:v>4.6203305682249898</c:v>
                </c:pt>
                <c:pt idx="12">
                  <c:v>4.5043406154145504</c:v>
                </c:pt>
                <c:pt idx="13">
                  <c:v>3.9190052333455001</c:v>
                </c:pt>
                <c:pt idx="14">
                  <c:v>3.2179757621123901</c:v>
                </c:pt>
                <c:pt idx="15">
                  <c:v>8.1885487764184308</c:v>
                </c:pt>
                <c:pt idx="16">
                  <c:v>3.3192907218625001</c:v>
                </c:pt>
                <c:pt idx="17">
                  <c:v>6.5128950742689504</c:v>
                </c:pt>
                <c:pt idx="18">
                  <c:v>4.0388900999774604</c:v>
                </c:pt>
                <c:pt idx="19">
                  <c:v>5.91653678373887</c:v>
                </c:pt>
                <c:pt idx="20">
                  <c:v>8.7690540796813501</c:v>
                </c:pt>
                <c:pt idx="21">
                  <c:v>4.6729709274284401</c:v>
                </c:pt>
                <c:pt idx="22">
                  <c:v>6.26905120685994</c:v>
                </c:pt>
                <c:pt idx="23">
                  <c:v>6.5929925811299999</c:v>
                </c:pt>
                <c:pt idx="24">
                  <c:v>7.6640187462400204</c:v>
                </c:pt>
                <c:pt idx="25">
                  <c:v>5.4447205180914198</c:v>
                </c:pt>
                <c:pt idx="26">
                  <c:v>5.1283787674812897</c:v>
                </c:pt>
                <c:pt idx="27">
                  <c:v>4.0982732452758901</c:v>
                </c:pt>
                <c:pt idx="28">
                  <c:v>5.9023084073845897</c:v>
                </c:pt>
                <c:pt idx="29">
                  <c:v>3.4053176444933202</c:v>
                </c:pt>
                <c:pt idx="30">
                  <c:v>4.8343580626904403</c:v>
                </c:pt>
                <c:pt idx="31">
                  <c:v>8.4921256925084894</c:v>
                </c:pt>
                <c:pt idx="32">
                  <c:v>3.1060430921106499</c:v>
                </c:pt>
                <c:pt idx="33">
                  <c:v>4.3576115268433799</c:v>
                </c:pt>
                <c:pt idx="34">
                  <c:v>6.4851000464774398</c:v>
                </c:pt>
                <c:pt idx="35">
                  <c:v>4.6473567594532499</c:v>
                </c:pt>
                <c:pt idx="36">
                  <c:v>6.5451368327674899</c:v>
                </c:pt>
                <c:pt idx="37">
                  <c:v>5.31298841085452</c:v>
                </c:pt>
                <c:pt idx="38">
                  <c:v>5.3025813267645701</c:v>
                </c:pt>
                <c:pt idx="39">
                  <c:v>6.0009043448680099</c:v>
                </c:pt>
                <c:pt idx="40">
                  <c:v>4.8280376247376697</c:v>
                </c:pt>
                <c:pt idx="41">
                  <c:v>11.5896922839302</c:v>
                </c:pt>
                <c:pt idx="42">
                  <c:v>6.3791319343333397</c:v>
                </c:pt>
                <c:pt idx="43">
                  <c:v>4.7622433330034504</c:v>
                </c:pt>
                <c:pt idx="44">
                  <c:v>2.96499054723522</c:v>
                </c:pt>
                <c:pt idx="45">
                  <c:v>10.1151471797931</c:v>
                </c:pt>
                <c:pt idx="46">
                  <c:v>3.2477783425153</c:v>
                </c:pt>
                <c:pt idx="47">
                  <c:v>3.72822062945886</c:v>
                </c:pt>
                <c:pt idx="48">
                  <c:v>4.0078567902813997</c:v>
                </c:pt>
                <c:pt idx="49">
                  <c:v>2.1261762036817</c:v>
                </c:pt>
                <c:pt idx="50">
                  <c:v>2.2665351409983701</c:v>
                </c:pt>
                <c:pt idx="51">
                  <c:v>7.6482161998445104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C-493B-875F-78BFF8739B75}"/>
            </c:ext>
          </c:extLst>
        </c:ser>
        <c:ser>
          <c:idx val="1"/>
          <c:order val="1"/>
          <c:tx>
            <c:strRef>
              <c:f>mlp_versus_sisq_results_!$D$4</c:f>
              <c:strCache>
                <c:ptCount val="1"/>
                <c:pt idx="0">
                  <c:v>Sisqual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numRef>
              <c:f>mlp_versus_sisq_results_!$B$5:$B$56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mlp_versus_sisq_results_!$D$5:$D$56</c:f>
              <c:numCache>
                <c:formatCode>0.000</c:formatCode>
                <c:ptCount val="52"/>
                <c:pt idx="0">
                  <c:v>9.2138888888888797</c:v>
                </c:pt>
                <c:pt idx="1">
                  <c:v>5.9194444444444398</c:v>
                </c:pt>
                <c:pt idx="2">
                  <c:v>8.5374999999999996</c:v>
                </c:pt>
                <c:pt idx="3">
                  <c:v>8.0152777777777704</c:v>
                </c:pt>
                <c:pt idx="4">
                  <c:v>5.1486111111111104</c:v>
                </c:pt>
                <c:pt idx="5">
                  <c:v>5.2750000000000004</c:v>
                </c:pt>
                <c:pt idx="6">
                  <c:v>7.1305555555555502</c:v>
                </c:pt>
                <c:pt idx="7">
                  <c:v>10.137499999999999</c:v>
                </c:pt>
                <c:pt idx="8">
                  <c:v>11.0875</c:v>
                </c:pt>
                <c:pt idx="9">
                  <c:v>9.5069444444444393</c:v>
                </c:pt>
                <c:pt idx="10">
                  <c:v>4.7666666666666604</c:v>
                </c:pt>
                <c:pt idx="11">
                  <c:v>4.8569444444444398</c:v>
                </c:pt>
                <c:pt idx="12">
                  <c:v>6.36527777777777</c:v>
                </c:pt>
                <c:pt idx="13">
                  <c:v>6.2055555555555504</c:v>
                </c:pt>
                <c:pt idx="14">
                  <c:v>5.1305555555555502</c:v>
                </c:pt>
                <c:pt idx="15">
                  <c:v>6.87083333333333</c:v>
                </c:pt>
                <c:pt idx="16">
                  <c:v>3.1083333333333298</c:v>
                </c:pt>
                <c:pt idx="17">
                  <c:v>7.99444444444444</c:v>
                </c:pt>
                <c:pt idx="18">
                  <c:v>4.1388888888888804</c:v>
                </c:pt>
                <c:pt idx="19">
                  <c:v>5.95</c:v>
                </c:pt>
                <c:pt idx="20">
                  <c:v>13.9291666666666</c:v>
                </c:pt>
                <c:pt idx="21">
                  <c:v>3.7847222222222201</c:v>
                </c:pt>
                <c:pt idx="22">
                  <c:v>5.1986111111111102</c:v>
                </c:pt>
                <c:pt idx="23">
                  <c:v>5.8444444444444397</c:v>
                </c:pt>
                <c:pt idx="24">
                  <c:v>9.9486111111111093</c:v>
                </c:pt>
                <c:pt idx="25">
                  <c:v>4.5333333333333297</c:v>
                </c:pt>
                <c:pt idx="26">
                  <c:v>4.7041666666666604</c:v>
                </c:pt>
                <c:pt idx="27">
                  <c:v>4.67638888888888</c:v>
                </c:pt>
                <c:pt idx="28">
                  <c:v>6.3375000000000004</c:v>
                </c:pt>
                <c:pt idx="29">
                  <c:v>3.5833333333333299</c:v>
                </c:pt>
                <c:pt idx="30">
                  <c:v>4.9472222222222202</c:v>
                </c:pt>
                <c:pt idx="31">
                  <c:v>4.6958333333333302</c:v>
                </c:pt>
                <c:pt idx="32">
                  <c:v>3.11805555555555</c:v>
                </c:pt>
                <c:pt idx="33">
                  <c:v>4.23888888888888</c:v>
                </c:pt>
                <c:pt idx="34">
                  <c:v>7.1333333333333302</c:v>
                </c:pt>
                <c:pt idx="35">
                  <c:v>6.93611111111111</c:v>
                </c:pt>
                <c:pt idx="36">
                  <c:v>3.9013888888888801</c:v>
                </c:pt>
                <c:pt idx="37">
                  <c:v>6.1944444444444402</c:v>
                </c:pt>
                <c:pt idx="38">
                  <c:v>5.2055555555555504</c:v>
                </c:pt>
                <c:pt idx="39">
                  <c:v>6.2333333333333298</c:v>
                </c:pt>
                <c:pt idx="40">
                  <c:v>10.1875</c:v>
                </c:pt>
                <c:pt idx="41">
                  <c:v>4.9180555555555499</c:v>
                </c:pt>
                <c:pt idx="42">
                  <c:v>6.2236111111111097</c:v>
                </c:pt>
                <c:pt idx="43">
                  <c:v>3.6069444444444398</c:v>
                </c:pt>
                <c:pt idx="44">
                  <c:v>3.1902777777777702</c:v>
                </c:pt>
                <c:pt idx="45">
                  <c:v>12.1458333333333</c:v>
                </c:pt>
                <c:pt idx="46">
                  <c:v>3.61805555555555</c:v>
                </c:pt>
                <c:pt idx="47">
                  <c:v>5.2222222222222197</c:v>
                </c:pt>
                <c:pt idx="48">
                  <c:v>4.3611111111111098</c:v>
                </c:pt>
                <c:pt idx="49">
                  <c:v>6.3833333333333302</c:v>
                </c:pt>
                <c:pt idx="50">
                  <c:v>2.7749999999999999</c:v>
                </c:pt>
                <c:pt idx="51">
                  <c:v>8.0805555555555504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C-493B-875F-78BFF8739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1818943"/>
        <c:axId val="1649889887"/>
      </c:barChart>
      <c:catAx>
        <c:axId val="1721818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89887"/>
        <c:crosses val="autoZero"/>
        <c:auto val="1"/>
        <c:lblAlgn val="ctr"/>
        <c:lblOffset val="100"/>
        <c:noMultiLvlLbl val="0"/>
      </c:catAx>
      <c:valAx>
        <c:axId val="164988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81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mlp_versus_sisq_results_!$C$4</c:f>
              <c:strCache>
                <c:ptCount val="1"/>
                <c:pt idx="0">
                  <c:v>MLP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mlp_versus_sisq_results_!$B$5:$B$56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mlp_versus_sisq_results_!$C$5:$C$56</c:f>
              <c:numCache>
                <c:formatCode>0.000</c:formatCode>
                <c:ptCount val="52"/>
                <c:pt idx="0">
                  <c:v>7.8348114659297901</c:v>
                </c:pt>
                <c:pt idx="1">
                  <c:v>4.7402800365457303</c:v>
                </c:pt>
                <c:pt idx="2">
                  <c:v>5.5488661321690298</c:v>
                </c:pt>
                <c:pt idx="3">
                  <c:v>4.5179126857837399</c:v>
                </c:pt>
                <c:pt idx="4">
                  <c:v>5.3573818485764804</c:v>
                </c:pt>
                <c:pt idx="5">
                  <c:v>4.6799413582389304</c:v>
                </c:pt>
                <c:pt idx="6">
                  <c:v>3.9463074145168902</c:v>
                </c:pt>
                <c:pt idx="7">
                  <c:v>5.5356798661668396</c:v>
                </c:pt>
                <c:pt idx="8">
                  <c:v>8.2900818156109608</c:v>
                </c:pt>
                <c:pt idx="9">
                  <c:v>6.6427418842842103</c:v>
                </c:pt>
                <c:pt idx="10">
                  <c:v>3.80853903219099</c:v>
                </c:pt>
                <c:pt idx="11">
                  <c:v>4.6203305682249898</c:v>
                </c:pt>
                <c:pt idx="12">
                  <c:v>4.5043406154145504</c:v>
                </c:pt>
                <c:pt idx="13">
                  <c:v>3.9190052333455001</c:v>
                </c:pt>
                <c:pt idx="14">
                  <c:v>3.2179757621123901</c:v>
                </c:pt>
                <c:pt idx="15">
                  <c:v>8.1885487764184308</c:v>
                </c:pt>
                <c:pt idx="16">
                  <c:v>3.3192907218625001</c:v>
                </c:pt>
                <c:pt idx="17">
                  <c:v>6.5128950742689504</c:v>
                </c:pt>
                <c:pt idx="18">
                  <c:v>4.0388900999774604</c:v>
                </c:pt>
                <c:pt idx="19">
                  <c:v>5.91653678373887</c:v>
                </c:pt>
                <c:pt idx="20">
                  <c:v>8.7690540796813501</c:v>
                </c:pt>
                <c:pt idx="21">
                  <c:v>4.6729709274284401</c:v>
                </c:pt>
                <c:pt idx="22">
                  <c:v>6.26905120685994</c:v>
                </c:pt>
                <c:pt idx="23">
                  <c:v>6.5929925811299999</c:v>
                </c:pt>
                <c:pt idx="24">
                  <c:v>7.6640187462400204</c:v>
                </c:pt>
                <c:pt idx="25">
                  <c:v>5.4447205180914198</c:v>
                </c:pt>
                <c:pt idx="26">
                  <c:v>5.1283787674812897</c:v>
                </c:pt>
                <c:pt idx="27">
                  <c:v>4.0982732452758901</c:v>
                </c:pt>
                <c:pt idx="28">
                  <c:v>5.9023084073845897</c:v>
                </c:pt>
                <c:pt idx="29">
                  <c:v>3.4053176444933202</c:v>
                </c:pt>
                <c:pt idx="30">
                  <c:v>4.8343580626904403</c:v>
                </c:pt>
                <c:pt idx="31">
                  <c:v>8.4921256925084894</c:v>
                </c:pt>
                <c:pt idx="32">
                  <c:v>3.1060430921106499</c:v>
                </c:pt>
                <c:pt idx="33">
                  <c:v>4.3576115268433799</c:v>
                </c:pt>
                <c:pt idx="34">
                  <c:v>6.4851000464774398</c:v>
                </c:pt>
                <c:pt idx="35">
                  <c:v>4.6473567594532499</c:v>
                </c:pt>
                <c:pt idx="36">
                  <c:v>6.5451368327674899</c:v>
                </c:pt>
                <c:pt idx="37">
                  <c:v>5.31298841085452</c:v>
                </c:pt>
                <c:pt idx="38">
                  <c:v>5.3025813267645701</c:v>
                </c:pt>
                <c:pt idx="39">
                  <c:v>6.0009043448680099</c:v>
                </c:pt>
                <c:pt idx="40">
                  <c:v>4.8280376247376697</c:v>
                </c:pt>
                <c:pt idx="41">
                  <c:v>11.5896922839302</c:v>
                </c:pt>
                <c:pt idx="42">
                  <c:v>6.3791319343333397</c:v>
                </c:pt>
                <c:pt idx="43">
                  <c:v>4.7622433330034504</c:v>
                </c:pt>
                <c:pt idx="44">
                  <c:v>2.96499054723522</c:v>
                </c:pt>
                <c:pt idx="45">
                  <c:v>10.1151471797931</c:v>
                </c:pt>
                <c:pt idx="46">
                  <c:v>3.2477783425153</c:v>
                </c:pt>
                <c:pt idx="47">
                  <c:v>3.72822062945886</c:v>
                </c:pt>
                <c:pt idx="48">
                  <c:v>4.0078567902813997</c:v>
                </c:pt>
                <c:pt idx="49">
                  <c:v>2.1261762036817</c:v>
                </c:pt>
                <c:pt idx="50">
                  <c:v>2.2665351409983701</c:v>
                </c:pt>
                <c:pt idx="51">
                  <c:v>7.6482161998445104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8-4E74-8E64-7E99F9413A60}"/>
            </c:ext>
          </c:extLst>
        </c:ser>
        <c:ser>
          <c:idx val="1"/>
          <c:order val="1"/>
          <c:tx>
            <c:strRef>
              <c:f>mlp_versus_sisq_results_!$D$4</c:f>
              <c:strCache>
                <c:ptCount val="1"/>
                <c:pt idx="0">
                  <c:v>Sisqual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mlp_versus_sisq_results_!$B$5:$B$56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mlp_versus_sisq_results_!$D$5:$D$56</c:f>
              <c:numCache>
                <c:formatCode>0.000</c:formatCode>
                <c:ptCount val="52"/>
                <c:pt idx="0">
                  <c:v>9.2138888888888797</c:v>
                </c:pt>
                <c:pt idx="1">
                  <c:v>5.9194444444444398</c:v>
                </c:pt>
                <c:pt idx="2">
                  <c:v>8.5374999999999996</c:v>
                </c:pt>
                <c:pt idx="3">
                  <c:v>8.0152777777777704</c:v>
                </c:pt>
                <c:pt idx="4">
                  <c:v>5.1486111111111104</c:v>
                </c:pt>
                <c:pt idx="5">
                  <c:v>5.2750000000000004</c:v>
                </c:pt>
                <c:pt idx="6">
                  <c:v>7.1305555555555502</c:v>
                </c:pt>
                <c:pt idx="7">
                  <c:v>10.137499999999999</c:v>
                </c:pt>
                <c:pt idx="8">
                  <c:v>11.0875</c:v>
                </c:pt>
                <c:pt idx="9">
                  <c:v>9.5069444444444393</c:v>
                </c:pt>
                <c:pt idx="10">
                  <c:v>4.7666666666666604</c:v>
                </c:pt>
                <c:pt idx="11">
                  <c:v>4.8569444444444398</c:v>
                </c:pt>
                <c:pt idx="12">
                  <c:v>6.36527777777777</c:v>
                </c:pt>
                <c:pt idx="13">
                  <c:v>6.2055555555555504</c:v>
                </c:pt>
                <c:pt idx="14">
                  <c:v>5.1305555555555502</c:v>
                </c:pt>
                <c:pt idx="15">
                  <c:v>6.87083333333333</c:v>
                </c:pt>
                <c:pt idx="16">
                  <c:v>3.1083333333333298</c:v>
                </c:pt>
                <c:pt idx="17">
                  <c:v>7.99444444444444</c:v>
                </c:pt>
                <c:pt idx="18">
                  <c:v>4.1388888888888804</c:v>
                </c:pt>
                <c:pt idx="19">
                  <c:v>5.95</c:v>
                </c:pt>
                <c:pt idx="20">
                  <c:v>13.9291666666666</c:v>
                </c:pt>
                <c:pt idx="21">
                  <c:v>3.7847222222222201</c:v>
                </c:pt>
                <c:pt idx="22">
                  <c:v>5.1986111111111102</c:v>
                </c:pt>
                <c:pt idx="23">
                  <c:v>5.8444444444444397</c:v>
                </c:pt>
                <c:pt idx="24">
                  <c:v>9.9486111111111093</c:v>
                </c:pt>
                <c:pt idx="25">
                  <c:v>4.5333333333333297</c:v>
                </c:pt>
                <c:pt idx="26">
                  <c:v>4.7041666666666604</c:v>
                </c:pt>
                <c:pt idx="27">
                  <c:v>4.67638888888888</c:v>
                </c:pt>
                <c:pt idx="28">
                  <c:v>6.3375000000000004</c:v>
                </c:pt>
                <c:pt idx="29">
                  <c:v>3.5833333333333299</c:v>
                </c:pt>
                <c:pt idx="30">
                  <c:v>4.9472222222222202</c:v>
                </c:pt>
                <c:pt idx="31">
                  <c:v>4.6958333333333302</c:v>
                </c:pt>
                <c:pt idx="32">
                  <c:v>3.11805555555555</c:v>
                </c:pt>
                <c:pt idx="33">
                  <c:v>4.23888888888888</c:v>
                </c:pt>
                <c:pt idx="34">
                  <c:v>7.1333333333333302</c:v>
                </c:pt>
                <c:pt idx="35">
                  <c:v>6.93611111111111</c:v>
                </c:pt>
                <c:pt idx="36">
                  <c:v>3.9013888888888801</c:v>
                </c:pt>
                <c:pt idx="37">
                  <c:v>6.1944444444444402</c:v>
                </c:pt>
                <c:pt idx="38">
                  <c:v>5.2055555555555504</c:v>
                </c:pt>
                <c:pt idx="39">
                  <c:v>6.2333333333333298</c:v>
                </c:pt>
                <c:pt idx="40">
                  <c:v>10.1875</c:v>
                </c:pt>
                <c:pt idx="41">
                  <c:v>4.9180555555555499</c:v>
                </c:pt>
                <c:pt idx="42">
                  <c:v>6.2236111111111097</c:v>
                </c:pt>
                <c:pt idx="43">
                  <c:v>3.6069444444444398</c:v>
                </c:pt>
                <c:pt idx="44">
                  <c:v>3.1902777777777702</c:v>
                </c:pt>
                <c:pt idx="45">
                  <c:v>12.1458333333333</c:v>
                </c:pt>
                <c:pt idx="46">
                  <c:v>3.61805555555555</c:v>
                </c:pt>
                <c:pt idx="47">
                  <c:v>5.2222222222222197</c:v>
                </c:pt>
                <c:pt idx="48">
                  <c:v>4.3611111111111098</c:v>
                </c:pt>
                <c:pt idx="49">
                  <c:v>6.3833333333333302</c:v>
                </c:pt>
                <c:pt idx="50">
                  <c:v>2.7749999999999999</c:v>
                </c:pt>
                <c:pt idx="51">
                  <c:v>8.0805555555555504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8-4E74-8E64-7E99F9413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818943"/>
        <c:axId val="1649889887"/>
      </c:lineChart>
      <c:catAx>
        <c:axId val="1721818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89887"/>
        <c:crosses val="autoZero"/>
        <c:auto val="1"/>
        <c:lblAlgn val="ctr"/>
        <c:lblOffset val="100"/>
        <c:noMultiLvlLbl val="0"/>
      </c:catAx>
      <c:valAx>
        <c:axId val="164988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81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13</xdr:row>
      <xdr:rowOff>114300</xdr:rowOff>
    </xdr:from>
    <xdr:to>
      <xdr:col>22</xdr:col>
      <xdr:colOff>15240</xdr:colOff>
      <xdr:row>47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D93084-3F82-48CB-8243-C276B25D6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50</xdr:row>
      <xdr:rowOff>-1</xdr:rowOff>
    </xdr:from>
    <xdr:to>
      <xdr:col>22</xdr:col>
      <xdr:colOff>13855</xdr:colOff>
      <xdr:row>80</xdr:row>
      <xdr:rowOff>13853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120FC1-2067-4737-8E62-389B4C554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6"/>
  <sheetViews>
    <sheetView tabSelected="1" topLeftCell="B12" zoomScale="85" zoomScaleNormal="85" workbookViewId="0">
      <selection activeCell="O4" sqref="O4"/>
    </sheetView>
  </sheetViews>
  <sheetFormatPr defaultRowHeight="14.4" x14ac:dyDescent="0.3"/>
  <cols>
    <col min="2" max="2" width="11.109375" style="1" customWidth="1"/>
    <col min="3" max="3" width="14.109375" customWidth="1"/>
    <col min="4" max="4" width="12.6640625" customWidth="1"/>
    <col min="5" max="5" width="21.5546875" customWidth="1"/>
    <col min="7" max="7" width="10.5546875" customWidth="1"/>
    <col min="8" max="8" width="9.5546875" customWidth="1"/>
    <col min="10" max="10" width="15.44140625" customWidth="1"/>
  </cols>
  <sheetData>
    <row r="1" spans="2:10" ht="18" x14ac:dyDescent="0.35">
      <c r="B1" s="11" t="s">
        <v>10</v>
      </c>
      <c r="C1" s="11"/>
      <c r="D1" s="11"/>
      <c r="E1" s="11"/>
      <c r="F1" s="11"/>
      <c r="G1" s="11"/>
      <c r="H1" s="11"/>
      <c r="I1" s="11"/>
      <c r="J1" s="11"/>
    </row>
    <row r="2" spans="2:10" ht="18" x14ac:dyDescent="0.35">
      <c r="B2" s="12"/>
      <c r="C2" s="12"/>
      <c r="D2" s="12"/>
      <c r="E2" s="12"/>
      <c r="F2" s="13"/>
      <c r="G2" s="13"/>
      <c r="H2" s="13"/>
      <c r="I2" s="13"/>
      <c r="J2" s="13"/>
    </row>
    <row r="3" spans="2:10" x14ac:dyDescent="0.3">
      <c r="B3" s="9"/>
      <c r="C3" s="10" t="s">
        <v>5</v>
      </c>
      <c r="D3" s="10"/>
      <c r="E3" s="10"/>
      <c r="F3" s="2"/>
    </row>
    <row r="4" spans="2:10" x14ac:dyDescent="0.3">
      <c r="B4" s="4" t="s">
        <v>0</v>
      </c>
      <c r="C4" s="4" t="s">
        <v>6</v>
      </c>
      <c r="D4" s="4" t="s">
        <v>7</v>
      </c>
      <c r="E4" s="4" t="s">
        <v>9</v>
      </c>
      <c r="F4" s="2"/>
      <c r="G4" s="15" t="s">
        <v>11</v>
      </c>
      <c r="H4" s="14">
        <v>52</v>
      </c>
    </row>
    <row r="5" spans="2:10" x14ac:dyDescent="0.3">
      <c r="B5" s="8">
        <v>10</v>
      </c>
      <c r="C5" s="6">
        <v>7.8348114659297901</v>
      </c>
      <c r="D5" s="6">
        <v>9.2138888888888797</v>
      </c>
      <c r="E5" s="6">
        <v>0.85032623688113496</v>
      </c>
      <c r="G5" s="16" t="s">
        <v>12</v>
      </c>
      <c r="H5" s="14" t="s">
        <v>13</v>
      </c>
    </row>
    <row r="6" spans="2:10" x14ac:dyDescent="0.3">
      <c r="B6" s="8">
        <v>11</v>
      </c>
      <c r="C6" s="6">
        <v>4.7402800365457303</v>
      </c>
      <c r="D6" s="6">
        <v>5.9194444444444398</v>
      </c>
      <c r="E6" s="6">
        <v>0.80079812912081805</v>
      </c>
    </row>
    <row r="7" spans="2:10" x14ac:dyDescent="0.3">
      <c r="B7" s="8">
        <v>13</v>
      </c>
      <c r="C7" s="6">
        <v>5.5488661321690298</v>
      </c>
      <c r="D7" s="6">
        <v>8.5374999999999996</v>
      </c>
      <c r="E7" s="6">
        <v>0.64994039615449894</v>
      </c>
      <c r="G7" s="3"/>
      <c r="H7" s="7" t="s">
        <v>5</v>
      </c>
      <c r="I7" s="7"/>
      <c r="J7" s="7"/>
    </row>
    <row r="8" spans="2:10" x14ac:dyDescent="0.3">
      <c r="B8" s="8">
        <v>14</v>
      </c>
      <c r="C8" s="6">
        <v>4.5179126857837399</v>
      </c>
      <c r="D8" s="6">
        <v>8.0152777777777704</v>
      </c>
      <c r="E8" s="6">
        <v>0.56366264664084098</v>
      </c>
      <c r="G8" s="3"/>
      <c r="H8" s="4" t="s">
        <v>6</v>
      </c>
      <c r="I8" s="4" t="s">
        <v>7</v>
      </c>
      <c r="J8" s="4" t="s">
        <v>8</v>
      </c>
    </row>
    <row r="9" spans="2:10" x14ac:dyDescent="0.3">
      <c r="B9" s="8">
        <v>15</v>
      </c>
      <c r="C9" s="6">
        <v>5.3573818485764804</v>
      </c>
      <c r="D9" s="6">
        <v>5.1486111111111104</v>
      </c>
      <c r="E9" s="6">
        <v>1.0405489428041701</v>
      </c>
      <c r="G9" s="5" t="s">
        <v>1</v>
      </c>
      <c r="H9" s="6">
        <f>MIN(C5:C56)</f>
        <v>2.1261762036817</v>
      </c>
      <c r="I9" s="6">
        <f>MIN(D5:D56)</f>
        <v>2.7749999999999999</v>
      </c>
      <c r="J9" s="6">
        <f>MIN(E5:E56)</f>
        <v>0.333082433997134</v>
      </c>
    </row>
    <row r="10" spans="2:10" x14ac:dyDescent="0.3">
      <c r="B10" s="8">
        <v>16</v>
      </c>
      <c r="C10" s="6">
        <v>4.6799413582389304</v>
      </c>
      <c r="D10" s="6">
        <v>5.2750000000000004</v>
      </c>
      <c r="E10" s="6">
        <v>0.88719267454766504</v>
      </c>
      <c r="G10" s="5" t="s">
        <v>2</v>
      </c>
      <c r="H10" s="6">
        <f>MAX(C5:C56)</f>
        <v>11.5896922839302</v>
      </c>
      <c r="I10" s="6">
        <f>MAX(D5:D56)</f>
        <v>13.9291666666666</v>
      </c>
      <c r="J10" s="6">
        <f>MAX(E5:E56)</f>
        <v>2.3565598543998298</v>
      </c>
    </row>
    <row r="11" spans="2:10" x14ac:dyDescent="0.3">
      <c r="B11" s="8">
        <v>17</v>
      </c>
      <c r="C11" s="6">
        <v>3.9463074145168902</v>
      </c>
      <c r="D11" s="6">
        <v>7.1305555555555502</v>
      </c>
      <c r="E11" s="6">
        <v>0.55343617811690005</v>
      </c>
      <c r="G11" s="5" t="s">
        <v>3</v>
      </c>
      <c r="H11" s="6">
        <f>AVERAGE(C5:C56)</f>
        <v>5.419916838549903</v>
      </c>
      <c r="I11" s="6">
        <f>AVERAGE(D5:D56)</f>
        <v>6.1772435897435827</v>
      </c>
      <c r="J11" s="6">
        <f>AVERAGE(E5:E56)</f>
        <v>0.93438340950589915</v>
      </c>
    </row>
    <row r="12" spans="2:10" x14ac:dyDescent="0.3">
      <c r="B12" s="8">
        <v>18</v>
      </c>
      <c r="C12" s="6">
        <v>5.5356798661668396</v>
      </c>
      <c r="D12" s="6">
        <v>10.137499999999999</v>
      </c>
      <c r="E12" s="6">
        <v>0.54605966620634705</v>
      </c>
      <c r="G12" s="5" t="s">
        <v>4</v>
      </c>
      <c r="H12" s="6">
        <f>MEDIAN(C5:C56)</f>
        <v>4.981368415085865</v>
      </c>
      <c r="I12" s="6">
        <f>MEDIAN(D5:D56)</f>
        <v>5.55972222222222</v>
      </c>
      <c r="J12" s="6">
        <f>MEDIAN(E5:E56)</f>
        <v>0.91406259198816453</v>
      </c>
    </row>
    <row r="13" spans="2:10" x14ac:dyDescent="0.3">
      <c r="B13" s="8">
        <v>19</v>
      </c>
      <c r="C13" s="6">
        <v>8.2900818156109608</v>
      </c>
      <c r="D13" s="6">
        <v>11.0875</v>
      </c>
      <c r="E13" s="6">
        <v>0.74769621786795604</v>
      </c>
    </row>
    <row r="14" spans="2:10" x14ac:dyDescent="0.3">
      <c r="B14" s="8">
        <v>20</v>
      </c>
      <c r="C14" s="6">
        <v>6.6427418842842103</v>
      </c>
      <c r="D14" s="6">
        <v>9.5069444444444393</v>
      </c>
      <c r="E14" s="6">
        <v>0.69872522376693003</v>
      </c>
    </row>
    <row r="15" spans="2:10" x14ac:dyDescent="0.3">
      <c r="B15" s="8">
        <v>21</v>
      </c>
      <c r="C15" s="6">
        <v>3.80853903219099</v>
      </c>
      <c r="D15" s="6">
        <v>4.7666666666666604</v>
      </c>
      <c r="E15" s="6">
        <v>0.79899420255755105</v>
      </c>
    </row>
    <row r="16" spans="2:10" x14ac:dyDescent="0.3">
      <c r="B16" s="8">
        <v>22</v>
      </c>
      <c r="C16" s="6">
        <v>4.6203305682249898</v>
      </c>
      <c r="D16" s="6">
        <v>4.8569444444444398</v>
      </c>
      <c r="E16" s="6">
        <v>0.95128338836774295</v>
      </c>
    </row>
    <row r="17" spans="2:5" x14ac:dyDescent="0.3">
      <c r="B17" s="8">
        <v>25</v>
      </c>
      <c r="C17" s="6">
        <v>4.5043406154145504</v>
      </c>
      <c r="D17" s="6">
        <v>6.36527777777777</v>
      </c>
      <c r="E17" s="6">
        <v>0.70764242703436098</v>
      </c>
    </row>
    <row r="18" spans="2:5" x14ac:dyDescent="0.3">
      <c r="B18" s="8">
        <v>26</v>
      </c>
      <c r="C18" s="6">
        <v>3.9190052333455001</v>
      </c>
      <c r="D18" s="6">
        <v>6.2055555555555504</v>
      </c>
      <c r="E18" s="6">
        <v>0.631531729634907</v>
      </c>
    </row>
    <row r="19" spans="2:5" x14ac:dyDescent="0.3">
      <c r="B19" s="8">
        <v>30</v>
      </c>
      <c r="C19" s="6">
        <v>3.2179757621123901</v>
      </c>
      <c r="D19" s="6">
        <v>5.1305555555555502</v>
      </c>
      <c r="E19" s="6">
        <v>0.62721779878747297</v>
      </c>
    </row>
    <row r="20" spans="2:5" x14ac:dyDescent="0.3">
      <c r="B20" s="8">
        <v>31</v>
      </c>
      <c r="C20" s="6">
        <v>8.1885487764184308</v>
      </c>
      <c r="D20" s="6">
        <v>6.87083333333333</v>
      </c>
      <c r="E20" s="6">
        <v>1.1917839334993401</v>
      </c>
    </row>
    <row r="21" spans="2:5" x14ac:dyDescent="0.3">
      <c r="B21" s="8">
        <v>32</v>
      </c>
      <c r="C21" s="6">
        <v>3.3192907218625001</v>
      </c>
      <c r="D21" s="6">
        <v>3.1083333333333298</v>
      </c>
      <c r="E21" s="6">
        <v>1.06786832874933</v>
      </c>
    </row>
    <row r="22" spans="2:5" x14ac:dyDescent="0.3">
      <c r="B22" s="8">
        <v>33</v>
      </c>
      <c r="C22" s="6">
        <v>6.5128950742689504</v>
      </c>
      <c r="D22" s="6">
        <v>7.99444444444444</v>
      </c>
      <c r="E22" s="6">
        <v>0.81467763263961901</v>
      </c>
    </row>
    <row r="23" spans="2:5" x14ac:dyDescent="0.3">
      <c r="B23" s="8">
        <v>34</v>
      </c>
      <c r="C23" s="6">
        <v>4.0388900999774604</v>
      </c>
      <c r="D23" s="6">
        <v>4.1388888888888804</v>
      </c>
      <c r="E23" s="6">
        <v>0.97583921878650104</v>
      </c>
    </row>
    <row r="24" spans="2:5" x14ac:dyDescent="0.3">
      <c r="B24" s="8">
        <v>35</v>
      </c>
      <c r="C24" s="6">
        <v>5.91653678373887</v>
      </c>
      <c r="D24" s="6">
        <v>5.95</v>
      </c>
      <c r="E24" s="6">
        <v>0.99437593004014702</v>
      </c>
    </row>
    <row r="25" spans="2:5" x14ac:dyDescent="0.3">
      <c r="B25" s="8">
        <v>37</v>
      </c>
      <c r="C25" s="6">
        <v>8.7690540796813501</v>
      </c>
      <c r="D25" s="6">
        <v>13.9291666666666</v>
      </c>
      <c r="E25" s="6">
        <v>0.62954620972884301</v>
      </c>
    </row>
    <row r="26" spans="2:5" x14ac:dyDescent="0.3">
      <c r="B26" s="8">
        <v>38</v>
      </c>
      <c r="C26" s="6">
        <v>4.6729709274284401</v>
      </c>
      <c r="D26" s="6">
        <v>3.7847222222222201</v>
      </c>
      <c r="E26" s="6">
        <v>1.2346932358710001</v>
      </c>
    </row>
    <row r="27" spans="2:5" x14ac:dyDescent="0.3">
      <c r="B27" s="8">
        <v>39</v>
      </c>
      <c r="C27" s="6">
        <v>6.26905120685994</v>
      </c>
      <c r="D27" s="6">
        <v>5.1986111111111102</v>
      </c>
      <c r="E27" s="6">
        <v>1.2059088615920801</v>
      </c>
    </row>
    <row r="28" spans="2:5" x14ac:dyDescent="0.3">
      <c r="B28" s="8">
        <v>40</v>
      </c>
      <c r="C28" s="6">
        <v>6.5929925811299999</v>
      </c>
      <c r="D28" s="6">
        <v>5.8444444444444397</v>
      </c>
      <c r="E28" s="6">
        <v>1.12807857852034</v>
      </c>
    </row>
    <row r="29" spans="2:5" x14ac:dyDescent="0.3">
      <c r="B29" s="8">
        <v>41</v>
      </c>
      <c r="C29" s="6">
        <v>7.6640187462400204</v>
      </c>
      <c r="D29" s="6">
        <v>9.9486111111111093</v>
      </c>
      <c r="E29" s="6">
        <v>0.77036067252447504</v>
      </c>
    </row>
    <row r="30" spans="2:5" x14ac:dyDescent="0.3">
      <c r="B30" s="8">
        <v>42</v>
      </c>
      <c r="C30" s="6">
        <v>5.4447205180914198</v>
      </c>
      <c r="D30" s="6">
        <v>4.5333333333333297</v>
      </c>
      <c r="E30" s="6">
        <v>1.20104129075546</v>
      </c>
    </row>
    <row r="31" spans="2:5" x14ac:dyDescent="0.3">
      <c r="B31" s="8">
        <v>43</v>
      </c>
      <c r="C31" s="6">
        <v>5.1283787674812897</v>
      </c>
      <c r="D31" s="6">
        <v>4.7041666666666604</v>
      </c>
      <c r="E31" s="6">
        <v>1.0901779488002701</v>
      </c>
    </row>
    <row r="32" spans="2:5" x14ac:dyDescent="0.3">
      <c r="B32" s="8">
        <v>45</v>
      </c>
      <c r="C32" s="6">
        <v>4.0982732452758901</v>
      </c>
      <c r="D32" s="6">
        <v>4.67638888888888</v>
      </c>
      <c r="E32" s="6">
        <v>0.87637562714542305</v>
      </c>
    </row>
    <row r="33" spans="2:5" x14ac:dyDescent="0.3">
      <c r="B33" s="8">
        <v>49</v>
      </c>
      <c r="C33" s="6">
        <v>5.9023084073845897</v>
      </c>
      <c r="D33" s="6">
        <v>6.3375000000000004</v>
      </c>
      <c r="E33" s="6">
        <v>0.93133071516916699</v>
      </c>
    </row>
    <row r="34" spans="2:5" x14ac:dyDescent="0.3">
      <c r="B34" s="8">
        <v>50</v>
      </c>
      <c r="C34" s="6">
        <v>3.4053176444933202</v>
      </c>
      <c r="D34" s="6">
        <v>3.5833333333333299</v>
      </c>
      <c r="E34" s="6">
        <v>0.95032120311441504</v>
      </c>
    </row>
    <row r="35" spans="2:5" x14ac:dyDescent="0.3">
      <c r="B35" s="8">
        <v>51</v>
      </c>
      <c r="C35" s="6">
        <v>4.8343580626904403</v>
      </c>
      <c r="D35" s="6">
        <v>4.9472222222222202</v>
      </c>
      <c r="E35" s="6">
        <v>0.97718635742198701</v>
      </c>
    </row>
    <row r="36" spans="2:5" x14ac:dyDescent="0.3">
      <c r="B36" s="8">
        <v>52</v>
      </c>
      <c r="C36" s="6">
        <v>8.4921256925084894</v>
      </c>
      <c r="D36" s="6">
        <v>4.6958333333333302</v>
      </c>
      <c r="E36" s="6">
        <v>1.8084384793274499</v>
      </c>
    </row>
    <row r="37" spans="2:5" x14ac:dyDescent="0.3">
      <c r="B37" s="8">
        <v>53</v>
      </c>
      <c r="C37" s="6">
        <v>3.1060430921106499</v>
      </c>
      <c r="D37" s="6">
        <v>3.11805555555555</v>
      </c>
      <c r="E37" s="6">
        <v>0.99614745047646802</v>
      </c>
    </row>
    <row r="38" spans="2:5" x14ac:dyDescent="0.3">
      <c r="B38" s="8">
        <v>54</v>
      </c>
      <c r="C38" s="6">
        <v>4.3576115268433799</v>
      </c>
      <c r="D38" s="6">
        <v>4.23888888888888</v>
      </c>
      <c r="E38" s="6">
        <v>1.0280079617717</v>
      </c>
    </row>
    <row r="39" spans="2:5" x14ac:dyDescent="0.3">
      <c r="B39" s="8">
        <v>55</v>
      </c>
      <c r="C39" s="6">
        <v>6.4851000464774398</v>
      </c>
      <c r="D39" s="6">
        <v>7.1333333333333302</v>
      </c>
      <c r="E39" s="6">
        <v>0.90912617473982804</v>
      </c>
    </row>
    <row r="40" spans="2:5" x14ac:dyDescent="0.3">
      <c r="B40" s="8">
        <v>56</v>
      </c>
      <c r="C40" s="6">
        <v>4.6473567594532499</v>
      </c>
      <c r="D40" s="6">
        <v>6.93611111111111</v>
      </c>
      <c r="E40" s="6">
        <v>0.67002340144299999</v>
      </c>
    </row>
    <row r="41" spans="2:5" x14ac:dyDescent="0.3">
      <c r="B41" s="8">
        <v>58</v>
      </c>
      <c r="C41" s="6">
        <v>6.5451368327674899</v>
      </c>
      <c r="D41" s="6">
        <v>3.9013888888888801</v>
      </c>
      <c r="E41" s="6">
        <v>1.6776427624039101</v>
      </c>
    </row>
    <row r="42" spans="2:5" x14ac:dyDescent="0.3">
      <c r="B42" s="8">
        <v>60</v>
      </c>
      <c r="C42" s="6">
        <v>5.31298841085452</v>
      </c>
      <c r="D42" s="6">
        <v>6.1944444444444402</v>
      </c>
      <c r="E42" s="6">
        <v>0.85770216498099905</v>
      </c>
    </row>
    <row r="43" spans="2:5" x14ac:dyDescent="0.3">
      <c r="B43" s="8">
        <v>61</v>
      </c>
      <c r="C43" s="6">
        <v>5.3025813267645701</v>
      </c>
      <c r="D43" s="6">
        <v>5.2055555555555504</v>
      </c>
      <c r="E43" s="6">
        <v>1.0186388888128299</v>
      </c>
    </row>
    <row r="44" spans="2:5" x14ac:dyDescent="0.3">
      <c r="B44" s="8">
        <v>62</v>
      </c>
      <c r="C44" s="6">
        <v>6.0009043448680099</v>
      </c>
      <c r="D44" s="6">
        <v>6.2333333333333298</v>
      </c>
      <c r="E44" s="6">
        <v>0.96271192698417296</v>
      </c>
    </row>
    <row r="45" spans="2:5" x14ac:dyDescent="0.3">
      <c r="B45" s="8">
        <v>63</v>
      </c>
      <c r="C45" s="6">
        <v>4.8280376247376697</v>
      </c>
      <c r="D45" s="6">
        <v>10.1875</v>
      </c>
      <c r="E45" s="6">
        <v>0.47391780365523201</v>
      </c>
    </row>
    <row r="46" spans="2:5" x14ac:dyDescent="0.3">
      <c r="B46" s="8">
        <v>64</v>
      </c>
      <c r="C46" s="6">
        <v>11.5896922839302</v>
      </c>
      <c r="D46" s="6">
        <v>4.9180555555555499</v>
      </c>
      <c r="E46" s="6">
        <v>2.3565598543998298</v>
      </c>
    </row>
    <row r="47" spans="2:5" x14ac:dyDescent="0.3">
      <c r="B47" s="8">
        <v>65</v>
      </c>
      <c r="C47" s="6">
        <v>6.3791319343333397</v>
      </c>
      <c r="D47" s="6">
        <v>6.2236111111111097</v>
      </c>
      <c r="E47" s="6">
        <v>1.02498884015175</v>
      </c>
    </row>
    <row r="48" spans="2:5" x14ac:dyDescent="0.3">
      <c r="B48" s="8">
        <v>66</v>
      </c>
      <c r="C48" s="6">
        <v>4.7622433330034504</v>
      </c>
      <c r="D48" s="6">
        <v>3.6069444444444398</v>
      </c>
      <c r="E48" s="6">
        <v>1.3202984981757699</v>
      </c>
    </row>
    <row r="49" spans="2:5" x14ac:dyDescent="0.3">
      <c r="B49" s="8">
        <v>67</v>
      </c>
      <c r="C49" s="6">
        <v>2.96499054723522</v>
      </c>
      <c r="D49" s="6">
        <v>3.1902777777777702</v>
      </c>
      <c r="E49" s="6">
        <v>0.92938319286432902</v>
      </c>
    </row>
    <row r="50" spans="2:5" x14ac:dyDescent="0.3">
      <c r="B50" s="8">
        <v>68</v>
      </c>
      <c r="C50" s="6">
        <v>10.1151471797931</v>
      </c>
      <c r="D50" s="6">
        <v>12.1458333333333</v>
      </c>
      <c r="E50" s="6">
        <v>0.83280800108073705</v>
      </c>
    </row>
    <row r="51" spans="2:5" x14ac:dyDescent="0.3">
      <c r="B51" s="8">
        <v>69</v>
      </c>
      <c r="C51" s="6">
        <v>3.2477783425153</v>
      </c>
      <c r="D51" s="6">
        <v>3.61805555555555</v>
      </c>
      <c r="E51" s="6">
        <v>0.89765850541689796</v>
      </c>
    </row>
    <row r="52" spans="2:5" x14ac:dyDescent="0.3">
      <c r="B52" s="8">
        <v>71</v>
      </c>
      <c r="C52" s="6">
        <v>3.72822062945886</v>
      </c>
      <c r="D52" s="6">
        <v>5.2222222222222197</v>
      </c>
      <c r="E52" s="6">
        <v>0.71391458861978296</v>
      </c>
    </row>
    <row r="53" spans="2:5" x14ac:dyDescent="0.3">
      <c r="B53" s="8">
        <v>72</v>
      </c>
      <c r="C53" s="6">
        <v>4.0078567902813997</v>
      </c>
      <c r="D53" s="6">
        <v>4.3611111111111098</v>
      </c>
      <c r="E53" s="6">
        <v>0.91899900923650102</v>
      </c>
    </row>
    <row r="54" spans="2:5" x14ac:dyDescent="0.3">
      <c r="B54" s="8">
        <v>73</v>
      </c>
      <c r="C54" s="6">
        <v>2.1261762036817</v>
      </c>
      <c r="D54" s="6">
        <v>6.3833333333333302</v>
      </c>
      <c r="E54" s="6">
        <v>0.333082433997134</v>
      </c>
    </row>
    <row r="55" spans="2:5" x14ac:dyDescent="0.3">
      <c r="B55" s="8">
        <v>74</v>
      </c>
      <c r="C55" s="6">
        <v>2.2665351409983701</v>
      </c>
      <c r="D55" s="6">
        <v>2.7749999999999999</v>
      </c>
      <c r="E55" s="6">
        <v>0.81676942017959597</v>
      </c>
    </row>
    <row r="56" spans="2:5" x14ac:dyDescent="0.3">
      <c r="B56" s="8">
        <v>75</v>
      </c>
      <c r="C56" s="6">
        <v>7.6482161998445104</v>
      </c>
      <c r="D56" s="6">
        <v>8.0805555555555504</v>
      </c>
      <c r="E56" s="6">
        <v>0.94649633274115696</v>
      </c>
    </row>
  </sheetData>
  <mergeCells count="3">
    <mergeCell ref="H7:J7"/>
    <mergeCell ref="C3:E3"/>
    <mergeCell ref="B1:J1"/>
  </mergeCells>
  <conditionalFormatting sqref="E5:E56">
    <cfRule type="cellIs" dxfId="2" priority="1" operator="greaterThan">
      <formula>1.5</formula>
    </cfRule>
    <cfRule type="cellIs" dxfId="1" priority="2" operator="between">
      <formula>1.25</formula>
      <formula>1.5</formula>
    </cfRule>
    <cfRule type="cellIs" dxfId="0" priority="3" operator="between">
      <formula>1</formula>
      <formula>1.25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mlp_versus_sisq_results_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2023-04-18T16:21:42Z</dcterms:created>
  <dcterms:modified xsi:type="dcterms:W3CDTF">2023-04-20T14:10:55Z</dcterms:modified>
</cp:coreProperties>
</file>