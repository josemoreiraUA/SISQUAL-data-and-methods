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\Notebooks\"/>
    </mc:Choice>
  </mc:AlternateContent>
  <xr:revisionPtr revIDLastSave="0" documentId="13_ncr:40009_{738C858A-EC93-47B3-BB40-0E695D22D1E3}" xr6:coauthVersionLast="47" xr6:coauthVersionMax="47" xr10:uidLastSave="{00000000-0000-0000-0000-000000000000}"/>
  <bookViews>
    <workbookView xWindow="-108" yWindow="-108" windowWidth="23256" windowHeight="13176"/>
  </bookViews>
  <sheets>
    <sheet name="results_data" sheetId="1" r:id="rId1"/>
  </sheets>
  <calcPr calcId="0"/>
</workbook>
</file>

<file path=xl/calcChain.xml><?xml version="1.0" encoding="utf-8"?>
<calcChain xmlns="http://schemas.openxmlformats.org/spreadsheetml/2006/main">
  <c r="M8" i="1" l="1"/>
  <c r="N8" i="1"/>
  <c r="O8" i="1"/>
  <c r="P8" i="1"/>
  <c r="M7" i="1"/>
  <c r="N7" i="1"/>
  <c r="P7" i="1"/>
  <c r="O7" i="1"/>
  <c r="N6" i="1"/>
  <c r="O6" i="1"/>
  <c r="P6" i="1"/>
  <c r="M6" i="1"/>
  <c r="P5" i="1"/>
  <c r="O5" i="1"/>
  <c r="N5" i="1"/>
  <c r="M5" i="1"/>
  <c r="P4" i="1"/>
  <c r="O4" i="1"/>
  <c r="N4" i="1"/>
  <c r="M4" i="1"/>
</calcChain>
</file>

<file path=xl/sharedStrings.xml><?xml version="1.0" encoding="utf-8"?>
<sst xmlns="http://schemas.openxmlformats.org/spreadsheetml/2006/main" count="18" uniqueCount="18">
  <si>
    <t>Store ID</t>
  </si>
  <si>
    <t>N Records</t>
  </si>
  <si>
    <t>N Records Agg</t>
  </si>
  <si>
    <t>N Records Train</t>
  </si>
  <si>
    <t>N Records Test</t>
  </si>
  <si>
    <t>RAW MAE</t>
  </si>
  <si>
    <t>ROUND MAE</t>
  </si>
  <si>
    <t>FLOOR MAE</t>
  </si>
  <si>
    <t>CEIL MAE</t>
  </si>
  <si>
    <t>Min</t>
  </si>
  <si>
    <t>Max</t>
  </si>
  <si>
    <t>Mean</t>
  </si>
  <si>
    <t>Mode</t>
  </si>
  <si>
    <t>Raw</t>
  </si>
  <si>
    <t>Round</t>
  </si>
  <si>
    <t>Floor</t>
  </si>
  <si>
    <t>Ceil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</si>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</sst>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/>
    </xf>
    <xf numFmtId="164" fontId="0" fillId="0" borderId="0" xfId="0" applyNumberFormat="1"/>
    <xf numFmtId="0" fontId="0" fillId="0" borderId="10" xfId="0" applyBorder="1"/>
    <xf numFmtId="164" fontId="0" fillId="0" borderId="10" xfId="0" applyNumberFormat="1" applyBorder="1"/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0" fontId="16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tabSelected="1" workbookViewId="0">
      <selection activeCell="L12" sqref="L12"/>
    </sheetView>
  </sheetViews>
  <sheetFormatPr defaultRowHeight="14.4" x14ac:dyDescent="0.3"/>
  <cols>
    <col min="1" max="1" width="7.6640625" bestFit="1" customWidth="1"/>
    <col min="2" max="2" width="9.44140625" bestFit="1" customWidth="1"/>
    <col min="3" max="3" width="13.21875" bestFit="1" customWidth="1"/>
    <col min="4" max="4" width="14.21875" bestFit="1" customWidth="1"/>
    <col min="5" max="5" width="13.44140625" bestFit="1" customWidth="1"/>
    <col min="6" max="6" width="15.77734375" customWidth="1"/>
    <col min="7" max="7" width="14.88671875" customWidth="1"/>
    <col min="8" max="9" width="14.332031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6" x14ac:dyDescent="0.3">
      <c r="A2">
        <v>10</v>
      </c>
      <c r="B2">
        <v>4231</v>
      </c>
      <c r="C2">
        <v>8749</v>
      </c>
      <c r="D2">
        <v>6999</v>
      </c>
      <c r="E2">
        <v>1750</v>
      </c>
      <c r="F2" s="2">
        <v>7.2192931972789101E-2</v>
      </c>
      <c r="G2" s="2">
        <v>6.6857142857142796E-2</v>
      </c>
      <c r="H2" s="2">
        <v>9.4285714285714195E-2</v>
      </c>
      <c r="I2" s="2">
        <v>0.11485714285714201</v>
      </c>
    </row>
    <row r="3" spans="1:16" x14ac:dyDescent="0.3">
      <c r="A3">
        <v>11</v>
      </c>
      <c r="B3">
        <v>3870</v>
      </c>
      <c r="C3">
        <v>8725</v>
      </c>
      <c r="D3">
        <v>6980</v>
      </c>
      <c r="E3">
        <v>1745</v>
      </c>
      <c r="F3" s="2">
        <v>4.55099058534588E-2</v>
      </c>
      <c r="G3" s="2">
        <v>3.3810888252149E-2</v>
      </c>
      <c r="H3" s="2">
        <v>0.10143266475644699</v>
      </c>
      <c r="I3" s="2">
        <v>7.6790830945558705E-2</v>
      </c>
      <c r="L3" s="3"/>
      <c r="M3" s="5" t="s">
        <v>13</v>
      </c>
      <c r="N3" s="5" t="s">
        <v>14</v>
      </c>
      <c r="O3" s="5" t="s">
        <v>15</v>
      </c>
      <c r="P3" s="5" t="s">
        <v>16</v>
      </c>
    </row>
    <row r="4" spans="1:16" x14ac:dyDescent="0.3">
      <c r="A4">
        <v>13</v>
      </c>
      <c r="B4">
        <v>4231</v>
      </c>
      <c r="C4">
        <v>8749</v>
      </c>
      <c r="D4">
        <v>6999</v>
      </c>
      <c r="E4">
        <v>1750</v>
      </c>
      <c r="F4" s="2">
        <v>5.6987614512471599E-2</v>
      </c>
      <c r="G4" s="2">
        <v>4.6285714285714201E-2</v>
      </c>
      <c r="H4" s="2">
        <v>0.129142857142857</v>
      </c>
      <c r="I4" s="2">
        <v>0.112571428571428</v>
      </c>
      <c r="L4" s="6" t="s">
        <v>9</v>
      </c>
      <c r="M4" s="4">
        <f>MIN(F2:F53)</f>
        <v>3.4233026333742603E-2</v>
      </c>
      <c r="N4" s="4">
        <f>MIN(G2:G53)</f>
        <v>2.75071633237822E-2</v>
      </c>
      <c r="O4" s="4">
        <f>MIN(H2:H53)</f>
        <v>7.2571428571428495E-2</v>
      </c>
      <c r="P4" s="4">
        <f>MIN(I2:I53)</f>
        <v>5.50143266475644E-2</v>
      </c>
    </row>
    <row r="5" spans="1:16" x14ac:dyDescent="0.3">
      <c r="A5">
        <v>14</v>
      </c>
      <c r="B5">
        <v>3870</v>
      </c>
      <c r="C5">
        <v>8725</v>
      </c>
      <c r="D5">
        <v>6980</v>
      </c>
      <c r="E5">
        <v>1745</v>
      </c>
      <c r="F5" s="2">
        <v>5.9038872970391502E-2</v>
      </c>
      <c r="G5" s="2">
        <v>4.8710601719197701E-2</v>
      </c>
      <c r="H5" s="2">
        <v>7.7936962750716293E-2</v>
      </c>
      <c r="I5" s="2">
        <v>0.12607449856733499</v>
      </c>
      <c r="L5" s="6" t="s">
        <v>10</v>
      </c>
      <c r="M5" s="4">
        <f>MAX(F2:F53)</f>
        <v>0.117862464183381</v>
      </c>
      <c r="N5" s="4">
        <f>MAX(G2:G53)</f>
        <v>0.10143266475644699</v>
      </c>
      <c r="O5" s="4">
        <f>MAX(H2:H53)</f>
        <v>0.2189111747851</v>
      </c>
      <c r="P5" s="4">
        <f>MAX(I2:I53)</f>
        <v>0.20685714285714199</v>
      </c>
    </row>
    <row r="6" spans="1:16" x14ac:dyDescent="0.3">
      <c r="A6">
        <v>15</v>
      </c>
      <c r="B6">
        <v>4231</v>
      </c>
      <c r="C6">
        <v>8749</v>
      </c>
      <c r="D6">
        <v>6999</v>
      </c>
      <c r="E6">
        <v>1750</v>
      </c>
      <c r="F6" s="2">
        <v>4.14205578231292E-2</v>
      </c>
      <c r="G6" s="2">
        <v>3.9428571428571403E-2</v>
      </c>
      <c r="H6" s="2">
        <v>9.3142857142857097E-2</v>
      </c>
      <c r="I6" s="2">
        <v>5.5428571428571403E-2</v>
      </c>
      <c r="L6" s="6" t="s">
        <v>11</v>
      </c>
      <c r="M6" s="4">
        <f>AVERAGE(F2:F53)</f>
        <v>6.6086838530845599E-2</v>
      </c>
      <c r="N6" s="4">
        <f t="shared" ref="N6:P6" si="0">AVERAGE(G2:G53)</f>
        <v>5.4939466601017603E-2</v>
      </c>
      <c r="O6" s="4">
        <f t="shared" si="0"/>
        <v>0.1183802344627619</v>
      </c>
      <c r="P6" s="4">
        <f t="shared" si="0"/>
        <v>0.1173559948223631</v>
      </c>
    </row>
    <row r="7" spans="1:16" x14ac:dyDescent="0.3">
      <c r="A7">
        <v>16</v>
      </c>
      <c r="B7">
        <v>4152</v>
      </c>
      <c r="C7">
        <v>8749</v>
      </c>
      <c r="D7">
        <v>6999</v>
      </c>
      <c r="E7">
        <v>1750</v>
      </c>
      <c r="F7" s="2">
        <v>5.8327487528344601E-2</v>
      </c>
      <c r="G7" s="2">
        <v>4.8571428571428502E-2</v>
      </c>
      <c r="H7" s="2">
        <v>8.4000000000000005E-2</v>
      </c>
      <c r="I7" s="2">
        <v>0.152</v>
      </c>
      <c r="L7" s="6" t="s">
        <v>12</v>
      </c>
      <c r="M7" s="4" t="e">
        <f>MODE(F2:F53)</f>
        <v>#N/A</v>
      </c>
      <c r="N7" s="4">
        <f>MODE(G2:G53)</f>
        <v>4.6285714285714201E-2</v>
      </c>
      <c r="O7" s="4">
        <f>MODE(H2:H53)</f>
        <v>7.7936962750716293E-2</v>
      </c>
      <c r="P7" s="4">
        <f>MODE(I2:I53)</f>
        <v>5.5428571428571403E-2</v>
      </c>
    </row>
    <row r="8" spans="1:16" x14ac:dyDescent="0.3">
      <c r="A8">
        <v>17</v>
      </c>
      <c r="B8">
        <v>3871</v>
      </c>
      <c r="C8">
        <v>8725</v>
      </c>
      <c r="D8">
        <v>6980</v>
      </c>
      <c r="E8">
        <v>1745</v>
      </c>
      <c r="F8" s="2">
        <v>6.1035514167462501E-2</v>
      </c>
      <c r="G8" s="2">
        <v>5.1575931232091601E-2</v>
      </c>
      <c r="H8" s="2">
        <v>9.6275071633237799E-2</v>
      </c>
      <c r="I8" s="2">
        <v>0.13753581661891101</v>
      </c>
      <c r="L8" s="7" t="s">
        <v>17</v>
      </c>
      <c r="M8" s="4">
        <f>MEDIAN(F2:F53)</f>
        <v>6.2817314270120606E-2</v>
      </c>
      <c r="N8" s="4">
        <f t="shared" ref="N8:P8" si="1">MEDIAN(G2:G53)</f>
        <v>5.2722063037249203E-2</v>
      </c>
      <c r="O8" s="4">
        <f t="shared" si="1"/>
        <v>0.1094555873925495</v>
      </c>
      <c r="P8" s="4">
        <f t="shared" si="1"/>
        <v>0.1130184199754395</v>
      </c>
    </row>
    <row r="9" spans="1:16" x14ac:dyDescent="0.3">
      <c r="A9">
        <v>18</v>
      </c>
      <c r="B9">
        <v>4207</v>
      </c>
      <c r="C9">
        <v>8749</v>
      </c>
      <c r="D9">
        <v>6999</v>
      </c>
      <c r="E9">
        <v>1750</v>
      </c>
      <c r="F9" s="2">
        <v>5.2711777777777698E-2</v>
      </c>
      <c r="G9" s="2">
        <v>4.4571428571428498E-2</v>
      </c>
      <c r="H9" s="2">
        <v>9.1999999999999998E-2</v>
      </c>
      <c r="I9" s="2">
        <v>9.4857142857142807E-2</v>
      </c>
    </row>
    <row r="10" spans="1:16" x14ac:dyDescent="0.3">
      <c r="A10">
        <v>19</v>
      </c>
      <c r="B10">
        <v>4218</v>
      </c>
      <c r="C10">
        <v>8749</v>
      </c>
      <c r="D10">
        <v>6999</v>
      </c>
      <c r="E10">
        <v>1750</v>
      </c>
      <c r="F10" s="2">
        <v>5.54122176870748E-2</v>
      </c>
      <c r="G10" s="2">
        <v>4.8571428571428502E-2</v>
      </c>
      <c r="H10" s="2">
        <v>8.7428571428571397E-2</v>
      </c>
      <c r="I10" s="2">
        <v>8.6285714285714202E-2</v>
      </c>
    </row>
    <row r="11" spans="1:16" x14ac:dyDescent="0.3">
      <c r="A11">
        <v>20</v>
      </c>
      <c r="B11">
        <v>4230</v>
      </c>
      <c r="C11">
        <v>8749</v>
      </c>
      <c r="D11">
        <v>6999</v>
      </c>
      <c r="E11">
        <v>1750</v>
      </c>
      <c r="F11" s="2">
        <v>5.1613782312925099E-2</v>
      </c>
      <c r="G11" s="2">
        <v>4.6285714285714201E-2</v>
      </c>
      <c r="H11" s="2">
        <v>8.4571428571428506E-2</v>
      </c>
      <c r="I11" s="2">
        <v>8.5714285714285701E-2</v>
      </c>
    </row>
    <row r="12" spans="1:16" x14ac:dyDescent="0.3">
      <c r="A12">
        <v>21</v>
      </c>
      <c r="B12">
        <v>3871</v>
      </c>
      <c r="C12">
        <v>8725</v>
      </c>
      <c r="D12">
        <v>6980</v>
      </c>
      <c r="E12">
        <v>1745</v>
      </c>
      <c r="F12" s="2">
        <v>6.9448205757947801E-2</v>
      </c>
      <c r="G12" s="2">
        <v>5.9025787965616E-2</v>
      </c>
      <c r="H12" s="2">
        <v>0.131805157593123</v>
      </c>
      <c r="I12" s="2">
        <v>0.114613180515759</v>
      </c>
    </row>
    <row r="13" spans="1:16" x14ac:dyDescent="0.3">
      <c r="A13">
        <v>22</v>
      </c>
      <c r="B13">
        <v>3870</v>
      </c>
      <c r="C13">
        <v>8725</v>
      </c>
      <c r="D13">
        <v>6980</v>
      </c>
      <c r="E13">
        <v>1745</v>
      </c>
      <c r="F13" s="2">
        <v>9.5517974257515695E-2</v>
      </c>
      <c r="G13" s="2">
        <v>7.6790830945558705E-2</v>
      </c>
      <c r="H13" s="2">
        <v>0.15472779369627501</v>
      </c>
      <c r="I13" s="2">
        <v>0.18051575931232</v>
      </c>
    </row>
    <row r="14" spans="1:16" x14ac:dyDescent="0.3">
      <c r="A14">
        <v>25</v>
      </c>
      <c r="B14">
        <v>3829</v>
      </c>
      <c r="C14">
        <v>8725</v>
      </c>
      <c r="D14">
        <v>6980</v>
      </c>
      <c r="E14">
        <v>1745</v>
      </c>
      <c r="F14" s="2">
        <v>6.1103411106562901E-2</v>
      </c>
      <c r="G14" s="2">
        <v>5.6160458452722002E-2</v>
      </c>
      <c r="H14" s="2">
        <v>0.107736389684813</v>
      </c>
      <c r="I14" s="2">
        <v>0.10429799426934</v>
      </c>
    </row>
    <row r="15" spans="1:16" x14ac:dyDescent="0.3">
      <c r="A15">
        <v>26</v>
      </c>
      <c r="B15">
        <v>3871</v>
      </c>
      <c r="C15">
        <v>8725</v>
      </c>
      <c r="D15">
        <v>6980</v>
      </c>
      <c r="E15">
        <v>1745</v>
      </c>
      <c r="F15" s="2">
        <v>4.1226483831354799E-2</v>
      </c>
      <c r="G15" s="2">
        <v>3.1518624641833803E-2</v>
      </c>
      <c r="H15" s="2">
        <v>7.7363896848137506E-2</v>
      </c>
      <c r="I15" s="2">
        <v>8.6532951289398197E-2</v>
      </c>
    </row>
    <row r="16" spans="1:16" x14ac:dyDescent="0.3">
      <c r="A16">
        <v>30</v>
      </c>
      <c r="B16">
        <v>3785</v>
      </c>
      <c r="C16">
        <v>8725</v>
      </c>
      <c r="D16">
        <v>6980</v>
      </c>
      <c r="E16">
        <v>1745</v>
      </c>
      <c r="F16" s="2">
        <v>4.4252399144949203E-2</v>
      </c>
      <c r="G16" s="2">
        <v>3.4383954154727697E-2</v>
      </c>
      <c r="H16" s="2">
        <v>7.7936962750716293E-2</v>
      </c>
      <c r="I16" s="2">
        <v>7.0487106017191895E-2</v>
      </c>
    </row>
    <row r="17" spans="1:9" x14ac:dyDescent="0.3">
      <c r="A17">
        <v>31</v>
      </c>
      <c r="B17">
        <v>4212</v>
      </c>
      <c r="C17">
        <v>8749</v>
      </c>
      <c r="D17">
        <v>6999</v>
      </c>
      <c r="E17">
        <v>1750</v>
      </c>
      <c r="F17" s="2">
        <v>6.2251105751391402E-2</v>
      </c>
      <c r="G17" s="2">
        <v>5.14285714285714E-2</v>
      </c>
      <c r="H17" s="2">
        <v>0.119428571428571</v>
      </c>
      <c r="I17" s="2">
        <v>0.106285714285714</v>
      </c>
    </row>
    <row r="18" spans="1:9" x14ac:dyDescent="0.3">
      <c r="A18">
        <v>32</v>
      </c>
      <c r="B18">
        <v>3871</v>
      </c>
      <c r="C18">
        <v>8725</v>
      </c>
      <c r="D18">
        <v>6980</v>
      </c>
      <c r="E18">
        <v>1745</v>
      </c>
      <c r="F18" s="2">
        <v>8.0378280347478001E-2</v>
      </c>
      <c r="G18" s="2">
        <v>6.70487106017192E-2</v>
      </c>
      <c r="H18" s="2">
        <v>0.14040114613180499</v>
      </c>
      <c r="I18" s="2">
        <v>0.12378223495702</v>
      </c>
    </row>
    <row r="19" spans="1:9" x14ac:dyDescent="0.3">
      <c r="A19">
        <v>33</v>
      </c>
      <c r="B19">
        <v>4158</v>
      </c>
      <c r="C19">
        <v>8725</v>
      </c>
      <c r="D19">
        <v>6980</v>
      </c>
      <c r="E19">
        <v>1745</v>
      </c>
      <c r="F19" s="2">
        <v>5.0129949515622801E-2</v>
      </c>
      <c r="G19" s="2">
        <v>4.0687679083094501E-2</v>
      </c>
      <c r="H19" s="2">
        <v>7.6790830945558705E-2</v>
      </c>
      <c r="I19" s="2">
        <v>8.7106017191976998E-2</v>
      </c>
    </row>
    <row r="20" spans="1:9" x14ac:dyDescent="0.3">
      <c r="A20">
        <v>34</v>
      </c>
      <c r="B20">
        <v>3857</v>
      </c>
      <c r="C20">
        <v>8725</v>
      </c>
      <c r="D20">
        <v>6980</v>
      </c>
      <c r="E20">
        <v>1745</v>
      </c>
      <c r="F20" s="2">
        <v>3.93692591076545E-2</v>
      </c>
      <c r="G20" s="2">
        <v>3.0372492836676201E-2</v>
      </c>
      <c r="H20" s="2">
        <v>7.7363896848137506E-2</v>
      </c>
      <c r="I20" s="2">
        <v>9.6275071633237799E-2</v>
      </c>
    </row>
    <row r="21" spans="1:9" x14ac:dyDescent="0.3">
      <c r="A21">
        <v>35</v>
      </c>
      <c r="B21">
        <v>3871</v>
      </c>
      <c r="C21">
        <v>8725</v>
      </c>
      <c r="D21">
        <v>6980</v>
      </c>
      <c r="E21">
        <v>1745</v>
      </c>
      <c r="F21" s="2">
        <v>3.4233026333742603E-2</v>
      </c>
      <c r="G21" s="2">
        <v>2.75071633237822E-2</v>
      </c>
      <c r="H21" s="2">
        <v>9.9713467048710605E-2</v>
      </c>
      <c r="I21" s="2">
        <v>5.50143266475644E-2</v>
      </c>
    </row>
    <row r="22" spans="1:9" x14ac:dyDescent="0.3">
      <c r="A22">
        <v>37</v>
      </c>
      <c r="B22">
        <v>4225</v>
      </c>
      <c r="C22">
        <v>8749</v>
      </c>
      <c r="D22">
        <v>6999</v>
      </c>
      <c r="E22">
        <v>1750</v>
      </c>
      <c r="F22" s="2">
        <v>3.7286258503401302E-2</v>
      </c>
      <c r="G22" s="2">
        <v>3.3142857142857099E-2</v>
      </c>
      <c r="H22" s="2">
        <v>7.2571428571428495E-2</v>
      </c>
      <c r="I22" s="2">
        <v>5.5428571428571403E-2</v>
      </c>
    </row>
    <row r="23" spans="1:9" x14ac:dyDescent="0.3">
      <c r="A23">
        <v>38</v>
      </c>
      <c r="B23">
        <v>3870</v>
      </c>
      <c r="C23">
        <v>8725</v>
      </c>
      <c r="D23">
        <v>6980</v>
      </c>
      <c r="E23">
        <v>1745</v>
      </c>
      <c r="F23" s="2">
        <v>7.5763928685132098E-2</v>
      </c>
      <c r="G23" s="2">
        <v>6.8194842406876705E-2</v>
      </c>
      <c r="H23" s="2">
        <v>0.14670487106017099</v>
      </c>
      <c r="I23" s="2">
        <v>0.13008595988538599</v>
      </c>
    </row>
    <row r="24" spans="1:9" x14ac:dyDescent="0.3">
      <c r="A24">
        <v>39</v>
      </c>
      <c r="B24">
        <v>4178</v>
      </c>
      <c r="C24">
        <v>8725</v>
      </c>
      <c r="D24">
        <v>6980</v>
      </c>
      <c r="E24">
        <v>1745</v>
      </c>
      <c r="F24" s="2">
        <v>6.2505703370173193E-2</v>
      </c>
      <c r="G24" s="2">
        <v>5.4441260744985599E-2</v>
      </c>
      <c r="H24" s="2">
        <v>0.122063037249283</v>
      </c>
      <c r="I24" s="2">
        <v>0.105444126074498</v>
      </c>
    </row>
    <row r="25" spans="1:9" x14ac:dyDescent="0.3">
      <c r="A25">
        <v>40</v>
      </c>
      <c r="B25">
        <v>4194</v>
      </c>
      <c r="C25">
        <v>8749</v>
      </c>
      <c r="D25">
        <v>6999</v>
      </c>
      <c r="E25">
        <v>1750</v>
      </c>
      <c r="F25" s="2">
        <v>6.17631836734693E-2</v>
      </c>
      <c r="G25" s="2">
        <v>5.0285714285714198E-2</v>
      </c>
      <c r="H25" s="2">
        <v>0.105142857142857</v>
      </c>
      <c r="I25" s="2">
        <v>0.13142857142857101</v>
      </c>
    </row>
    <row r="26" spans="1:9" x14ac:dyDescent="0.3">
      <c r="A26">
        <v>41</v>
      </c>
      <c r="B26">
        <v>3871</v>
      </c>
      <c r="C26">
        <v>8725</v>
      </c>
      <c r="D26">
        <v>6980</v>
      </c>
      <c r="E26">
        <v>1745</v>
      </c>
      <c r="F26" s="2">
        <v>6.6708084322554206E-2</v>
      </c>
      <c r="G26" s="2">
        <v>6.0744985673352403E-2</v>
      </c>
      <c r="H26" s="2">
        <v>9.6275071633237799E-2</v>
      </c>
      <c r="I26" s="2">
        <v>0.13409742120343801</v>
      </c>
    </row>
    <row r="27" spans="1:9" x14ac:dyDescent="0.3">
      <c r="A27">
        <v>42</v>
      </c>
      <c r="B27">
        <v>3865</v>
      </c>
      <c r="C27">
        <v>8725</v>
      </c>
      <c r="D27">
        <v>6980</v>
      </c>
      <c r="E27">
        <v>1745</v>
      </c>
      <c r="F27" s="2">
        <v>5.6372772547414303E-2</v>
      </c>
      <c r="G27" s="2">
        <v>5.0429799426934097E-2</v>
      </c>
      <c r="H27" s="2">
        <v>9.2836676217764993E-2</v>
      </c>
      <c r="I27" s="2">
        <v>9.8567335243553003E-2</v>
      </c>
    </row>
    <row r="28" spans="1:9" x14ac:dyDescent="0.3">
      <c r="A28">
        <v>43</v>
      </c>
      <c r="B28">
        <v>3870</v>
      </c>
      <c r="C28">
        <v>8725</v>
      </c>
      <c r="D28">
        <v>6980</v>
      </c>
      <c r="E28">
        <v>1745</v>
      </c>
      <c r="F28" s="2">
        <v>6.8262000272888507E-2</v>
      </c>
      <c r="G28" s="2">
        <v>5.7879656160458398E-2</v>
      </c>
      <c r="H28" s="2">
        <v>0.153008595988538</v>
      </c>
      <c r="I28" s="2">
        <v>9.7994269340974202E-2</v>
      </c>
    </row>
    <row r="29" spans="1:9" x14ac:dyDescent="0.3">
      <c r="A29">
        <v>45</v>
      </c>
      <c r="B29">
        <v>3878</v>
      </c>
      <c r="C29">
        <v>8725</v>
      </c>
      <c r="D29">
        <v>6980</v>
      </c>
      <c r="E29">
        <v>1745</v>
      </c>
      <c r="F29" s="2">
        <v>7.5162668849774794E-2</v>
      </c>
      <c r="G29" s="2">
        <v>5.9598853868194801E-2</v>
      </c>
      <c r="H29" s="2">
        <v>0.14727793696274999</v>
      </c>
      <c r="I29" s="2">
        <v>0.120343839541547</v>
      </c>
    </row>
    <row r="30" spans="1:9" x14ac:dyDescent="0.3">
      <c r="A30">
        <v>49</v>
      </c>
      <c r="B30">
        <v>3872</v>
      </c>
      <c r="C30">
        <v>8725</v>
      </c>
      <c r="D30">
        <v>6980</v>
      </c>
      <c r="E30">
        <v>1745</v>
      </c>
      <c r="F30" s="2">
        <v>6.6201723745849803E-2</v>
      </c>
      <c r="G30" s="2">
        <v>5.5587392550143201E-2</v>
      </c>
      <c r="H30" s="2">
        <v>0.12607449856733499</v>
      </c>
      <c r="I30" s="2">
        <v>0.102578796561604</v>
      </c>
    </row>
    <row r="31" spans="1:9" x14ac:dyDescent="0.3">
      <c r="A31">
        <v>50</v>
      </c>
      <c r="B31">
        <v>3859</v>
      </c>
      <c r="C31">
        <v>8725</v>
      </c>
      <c r="D31">
        <v>6980</v>
      </c>
      <c r="E31">
        <v>1745</v>
      </c>
      <c r="F31" s="2">
        <v>5.23204984763724E-2</v>
      </c>
      <c r="G31" s="2">
        <v>4.0687679083094501E-2</v>
      </c>
      <c r="H31" s="2">
        <v>0.120916905444126</v>
      </c>
      <c r="I31" s="2">
        <v>9.3409742120343794E-2</v>
      </c>
    </row>
    <row r="32" spans="1:9" x14ac:dyDescent="0.3">
      <c r="A32">
        <v>51</v>
      </c>
      <c r="B32">
        <v>3878</v>
      </c>
      <c r="C32">
        <v>8725</v>
      </c>
      <c r="D32">
        <v>6980</v>
      </c>
      <c r="E32">
        <v>1745</v>
      </c>
      <c r="F32" s="2">
        <v>4.4912975849365502E-2</v>
      </c>
      <c r="G32" s="2">
        <v>3.5530085959885299E-2</v>
      </c>
      <c r="H32" s="2">
        <v>8.9398280802292202E-2</v>
      </c>
      <c r="I32" s="2">
        <v>9.5128939828080197E-2</v>
      </c>
    </row>
    <row r="33" spans="1:9" x14ac:dyDescent="0.3">
      <c r="A33">
        <v>52</v>
      </c>
      <c r="B33">
        <v>3857</v>
      </c>
      <c r="C33">
        <v>8725</v>
      </c>
      <c r="D33">
        <v>6980</v>
      </c>
      <c r="E33">
        <v>1745</v>
      </c>
      <c r="F33" s="2">
        <v>6.0771305771592302E-2</v>
      </c>
      <c r="G33" s="2">
        <v>5.2148997134670402E-2</v>
      </c>
      <c r="H33" s="2">
        <v>0.111174785100286</v>
      </c>
      <c r="I33" s="2">
        <v>0.10143266475644699</v>
      </c>
    </row>
    <row r="34" spans="1:9" x14ac:dyDescent="0.3">
      <c r="A34">
        <v>53</v>
      </c>
      <c r="B34">
        <v>3859</v>
      </c>
      <c r="C34">
        <v>8725</v>
      </c>
      <c r="D34">
        <v>6980</v>
      </c>
      <c r="E34">
        <v>1745</v>
      </c>
      <c r="F34" s="2">
        <v>6.4595811161140604E-2</v>
      </c>
      <c r="G34" s="2">
        <v>5.0429799426934097E-2</v>
      </c>
      <c r="H34" s="2">
        <v>0.13982808022922599</v>
      </c>
      <c r="I34" s="2">
        <v>9.8567335243553003E-2</v>
      </c>
    </row>
    <row r="35" spans="1:9" x14ac:dyDescent="0.3">
      <c r="A35">
        <v>54</v>
      </c>
      <c r="B35">
        <v>3867</v>
      </c>
      <c r="C35">
        <v>8725</v>
      </c>
      <c r="D35">
        <v>6980</v>
      </c>
      <c r="E35">
        <v>1745</v>
      </c>
      <c r="F35" s="2">
        <v>8.5303879565197596E-2</v>
      </c>
      <c r="G35" s="2">
        <v>6.6475644699140399E-2</v>
      </c>
      <c r="H35" s="2">
        <v>0.13295128939827999</v>
      </c>
      <c r="I35" s="2">
        <v>0.16504297994269301</v>
      </c>
    </row>
    <row r="36" spans="1:9" x14ac:dyDescent="0.3">
      <c r="A36">
        <v>55</v>
      </c>
      <c r="B36">
        <v>4231</v>
      </c>
      <c r="C36">
        <v>8749</v>
      </c>
      <c r="D36">
        <v>6999</v>
      </c>
      <c r="E36">
        <v>1750</v>
      </c>
      <c r="F36" s="2">
        <v>6.3128925170068004E-2</v>
      </c>
      <c r="G36" s="2">
        <v>4.6285714285714201E-2</v>
      </c>
      <c r="H36" s="2">
        <v>0.104</v>
      </c>
      <c r="I36" s="2">
        <v>0.127428571428571</v>
      </c>
    </row>
    <row r="37" spans="1:9" x14ac:dyDescent="0.3">
      <c r="A37">
        <v>56</v>
      </c>
      <c r="B37">
        <v>4224</v>
      </c>
      <c r="C37">
        <v>8749</v>
      </c>
      <c r="D37">
        <v>6999</v>
      </c>
      <c r="E37">
        <v>1750</v>
      </c>
      <c r="F37" s="2">
        <v>0.106697156462585</v>
      </c>
      <c r="G37" s="2">
        <v>8.6285714285714202E-2</v>
      </c>
      <c r="H37" s="2">
        <v>0.153142857142857</v>
      </c>
      <c r="I37" s="2">
        <v>0.20685714285714199</v>
      </c>
    </row>
    <row r="38" spans="1:9" x14ac:dyDescent="0.3">
      <c r="A38">
        <v>58</v>
      </c>
      <c r="B38">
        <v>3602</v>
      </c>
      <c r="C38">
        <v>8749</v>
      </c>
      <c r="D38">
        <v>6999</v>
      </c>
      <c r="E38">
        <v>1750</v>
      </c>
      <c r="F38" s="2">
        <v>4.89184217687074E-2</v>
      </c>
      <c r="G38" s="2">
        <v>3.6571428571428498E-2</v>
      </c>
      <c r="H38" s="2">
        <v>9.1999999999999998E-2</v>
      </c>
      <c r="I38" s="2">
        <v>0.10114285714285701</v>
      </c>
    </row>
    <row r="39" spans="1:9" x14ac:dyDescent="0.3">
      <c r="A39">
        <v>60</v>
      </c>
      <c r="B39">
        <v>4218</v>
      </c>
      <c r="C39">
        <v>8749</v>
      </c>
      <c r="D39">
        <v>6999</v>
      </c>
      <c r="E39">
        <v>1750</v>
      </c>
      <c r="F39" s="2">
        <v>7.5485673469387699E-2</v>
      </c>
      <c r="G39" s="2">
        <v>6.8000000000000005E-2</v>
      </c>
      <c r="H39" s="2">
        <v>0.14228571428571399</v>
      </c>
      <c r="I39" s="2">
        <v>0.13885714285714201</v>
      </c>
    </row>
    <row r="40" spans="1:9" x14ac:dyDescent="0.3">
      <c r="A40">
        <v>61</v>
      </c>
      <c r="B40">
        <v>3871</v>
      </c>
      <c r="C40">
        <v>8725</v>
      </c>
      <c r="D40">
        <v>6980</v>
      </c>
      <c r="E40">
        <v>1745</v>
      </c>
      <c r="F40" s="2">
        <v>4.7877309319143101E-2</v>
      </c>
      <c r="G40" s="2">
        <v>3.6676217765042901E-2</v>
      </c>
      <c r="H40" s="2">
        <v>9.7994269340974202E-2</v>
      </c>
      <c r="I40" s="2">
        <v>7.0487106017191895E-2</v>
      </c>
    </row>
    <row r="41" spans="1:9" x14ac:dyDescent="0.3">
      <c r="A41">
        <v>62</v>
      </c>
      <c r="B41">
        <v>4244</v>
      </c>
      <c r="C41">
        <v>8749</v>
      </c>
      <c r="D41">
        <v>6999</v>
      </c>
      <c r="E41">
        <v>1750</v>
      </c>
      <c r="F41" s="2">
        <v>7.7029210884353702E-2</v>
      </c>
      <c r="G41" s="2">
        <v>6.2857142857142806E-2</v>
      </c>
      <c r="H41" s="2">
        <v>0.14457142857142799</v>
      </c>
      <c r="I41" s="2">
        <v>0.13200000000000001</v>
      </c>
    </row>
    <row r="42" spans="1:9" x14ac:dyDescent="0.3">
      <c r="A42">
        <v>63</v>
      </c>
      <c r="B42">
        <v>3871</v>
      </c>
      <c r="C42">
        <v>8725</v>
      </c>
      <c r="D42">
        <v>6980</v>
      </c>
      <c r="E42">
        <v>1745</v>
      </c>
      <c r="F42" s="2">
        <v>4.8673980079137598E-2</v>
      </c>
      <c r="G42" s="2">
        <v>3.8395415472779297E-2</v>
      </c>
      <c r="H42" s="2">
        <v>8.7106017191976998E-2</v>
      </c>
      <c r="I42" s="2">
        <v>0.112893982808022</v>
      </c>
    </row>
    <row r="43" spans="1:9" x14ac:dyDescent="0.3">
      <c r="A43">
        <v>64</v>
      </c>
      <c r="B43">
        <v>3895</v>
      </c>
      <c r="C43">
        <v>8725</v>
      </c>
      <c r="D43">
        <v>6980</v>
      </c>
      <c r="E43">
        <v>1745</v>
      </c>
      <c r="F43" s="2">
        <v>6.4552326374675895E-2</v>
      </c>
      <c r="G43" s="2">
        <v>5.3295128939827997E-2</v>
      </c>
      <c r="H43" s="2">
        <v>0.105444126074498</v>
      </c>
      <c r="I43" s="2">
        <v>0.118051575931232</v>
      </c>
    </row>
    <row r="44" spans="1:9" x14ac:dyDescent="0.3">
      <c r="A44">
        <v>65</v>
      </c>
      <c r="B44">
        <v>4226</v>
      </c>
      <c r="C44">
        <v>8749</v>
      </c>
      <c r="D44">
        <v>6999</v>
      </c>
      <c r="E44">
        <v>1750</v>
      </c>
      <c r="F44" s="2">
        <v>6.6225605442176802E-2</v>
      </c>
      <c r="G44" s="2">
        <v>0.06</v>
      </c>
      <c r="H44" s="2">
        <v>0.123428571428571</v>
      </c>
      <c r="I44" s="2">
        <v>0.113142857142857</v>
      </c>
    </row>
    <row r="45" spans="1:9" x14ac:dyDescent="0.3">
      <c r="A45">
        <v>66</v>
      </c>
      <c r="B45">
        <v>3872</v>
      </c>
      <c r="C45">
        <v>8725</v>
      </c>
      <c r="D45">
        <v>6980</v>
      </c>
      <c r="E45">
        <v>1745</v>
      </c>
      <c r="F45" s="2">
        <v>7.3070232410060401E-2</v>
      </c>
      <c r="G45" s="2">
        <v>6.1891117478509998E-2</v>
      </c>
      <c r="H45" s="2">
        <v>0.13638968481375299</v>
      </c>
      <c r="I45" s="2">
        <v>0.13982808022922599</v>
      </c>
    </row>
    <row r="46" spans="1:9" x14ac:dyDescent="0.3">
      <c r="A46">
        <v>67</v>
      </c>
      <c r="B46">
        <v>3858</v>
      </c>
      <c r="C46">
        <v>8725</v>
      </c>
      <c r="D46">
        <v>6980</v>
      </c>
      <c r="E46">
        <v>1745</v>
      </c>
      <c r="F46" s="2">
        <v>0.10629548369491</v>
      </c>
      <c r="G46" s="2">
        <v>8.8825214899713401E-2</v>
      </c>
      <c r="H46" s="2">
        <v>0.18166189111747799</v>
      </c>
      <c r="I46" s="2">
        <v>0.15530085959885301</v>
      </c>
    </row>
    <row r="47" spans="1:9" x14ac:dyDescent="0.3">
      <c r="A47">
        <v>68</v>
      </c>
      <c r="B47">
        <v>4124</v>
      </c>
      <c r="C47">
        <v>8749</v>
      </c>
      <c r="D47">
        <v>6999</v>
      </c>
      <c r="E47">
        <v>1750</v>
      </c>
      <c r="F47" s="2">
        <v>6.8546780045351405E-2</v>
      </c>
      <c r="G47" s="2">
        <v>6.2285714285714201E-2</v>
      </c>
      <c r="H47" s="2">
        <v>0.14628571428571399</v>
      </c>
      <c r="I47" s="2">
        <v>8.7428571428571397E-2</v>
      </c>
    </row>
    <row r="48" spans="1:9" x14ac:dyDescent="0.3">
      <c r="A48">
        <v>69</v>
      </c>
      <c r="B48">
        <v>3871</v>
      </c>
      <c r="C48">
        <v>8725</v>
      </c>
      <c r="D48">
        <v>6980</v>
      </c>
      <c r="E48">
        <v>1745</v>
      </c>
      <c r="F48" s="2">
        <v>9.2745940783189998E-2</v>
      </c>
      <c r="G48" s="2">
        <v>7.7936962750716293E-2</v>
      </c>
      <c r="H48" s="2">
        <v>0.13467048710601701</v>
      </c>
      <c r="I48" s="2">
        <v>0.20229226361031499</v>
      </c>
    </row>
    <row r="49" spans="1:9" x14ac:dyDescent="0.3">
      <c r="A49">
        <v>71</v>
      </c>
      <c r="B49">
        <v>3872</v>
      </c>
      <c r="C49">
        <v>8725</v>
      </c>
      <c r="D49">
        <v>6980</v>
      </c>
      <c r="E49">
        <v>1745</v>
      </c>
      <c r="F49" s="2">
        <v>9.2567116932732896E-2</v>
      </c>
      <c r="G49" s="2">
        <v>7.6217765042979904E-2</v>
      </c>
      <c r="H49" s="2">
        <v>0.19484240687679</v>
      </c>
      <c r="I49" s="2">
        <v>0.13696275071633199</v>
      </c>
    </row>
    <row r="50" spans="1:9" x14ac:dyDescent="0.3">
      <c r="A50">
        <v>72</v>
      </c>
      <c r="B50">
        <v>3861</v>
      </c>
      <c r="C50">
        <v>8725</v>
      </c>
      <c r="D50">
        <v>6980</v>
      </c>
      <c r="E50">
        <v>1745</v>
      </c>
      <c r="F50" s="2">
        <v>0.107624755537362</v>
      </c>
      <c r="G50" s="2">
        <v>8.2521489971346701E-2</v>
      </c>
      <c r="H50" s="2">
        <v>0.2189111747851</v>
      </c>
      <c r="I50" s="2">
        <v>0.16045845272206299</v>
      </c>
    </row>
    <row r="51" spans="1:9" x14ac:dyDescent="0.3">
      <c r="A51">
        <v>73</v>
      </c>
      <c r="B51">
        <v>3858</v>
      </c>
      <c r="C51">
        <v>8725</v>
      </c>
      <c r="D51">
        <v>6980</v>
      </c>
      <c r="E51">
        <v>1745</v>
      </c>
      <c r="F51" s="2">
        <v>0.117862464183381</v>
      </c>
      <c r="G51" s="2">
        <v>0.10143266475644699</v>
      </c>
      <c r="H51" s="2">
        <v>0.19598853868194799</v>
      </c>
      <c r="I51" s="2">
        <v>0.15702005730658999</v>
      </c>
    </row>
    <row r="52" spans="1:9" x14ac:dyDescent="0.3">
      <c r="A52">
        <v>74</v>
      </c>
      <c r="B52">
        <v>3828</v>
      </c>
      <c r="C52">
        <v>8725</v>
      </c>
      <c r="D52">
        <v>6980</v>
      </c>
      <c r="E52">
        <v>1745</v>
      </c>
      <c r="F52" s="2">
        <v>7.5979096738982094E-2</v>
      </c>
      <c r="G52" s="2">
        <v>5.4441260744985599E-2</v>
      </c>
      <c r="H52" s="2">
        <v>0.107736389684813</v>
      </c>
      <c r="I52" s="2">
        <v>0.19025787965616001</v>
      </c>
    </row>
    <row r="53" spans="1:9" x14ac:dyDescent="0.3">
      <c r="A53">
        <v>75</v>
      </c>
      <c r="B53">
        <v>1612</v>
      </c>
      <c r="C53">
        <v>3661</v>
      </c>
      <c r="D53">
        <v>2928</v>
      </c>
      <c r="E53">
        <v>733</v>
      </c>
      <c r="F53" s="2">
        <v>9.3143571753394397E-2</v>
      </c>
      <c r="G53" s="2">
        <v>7.7762619372441999E-2</v>
      </c>
      <c r="H53" s="2">
        <v>0.12960436562073599</v>
      </c>
      <c r="I53" s="2">
        <v>0.155525238744884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2023-04-10T22:45:51Z</dcterms:created>
  <dcterms:modified xsi:type="dcterms:W3CDTF">2023-04-10T22:54:30Z</dcterms:modified>
</cp:coreProperties>
</file>